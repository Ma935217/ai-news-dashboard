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職員マスタ" sheetId="1" state="visible" r:id="rId1"/>
    <sheet name="シフト設定" sheetId="2" state="visible" r:id="rId2"/>
    <sheet name="希望シフト入力" sheetId="3" state="visible" r:id="rId3"/>
    <sheet name="シフト表" sheetId="4" state="visible" r:id="rId4"/>
    <sheet name="月次サマリー" sheetId="5" state="visible" r:id="rId5"/>
    <sheet name="マクロコード(参考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color rgb="002E4057"/>
      <sz val="12"/>
    </font>
    <font>
      <name val="Meiryo UI"/>
      <b val="1"/>
      <sz val="11"/>
    </font>
    <font>
      <name val="Meiryo UI"/>
      <color rgb="007F8C8D"/>
      <sz val="9"/>
    </font>
    <font>
      <name val="Meiryo UI"/>
      <b val="1"/>
      <sz val="10"/>
    </font>
    <font>
      <name val="Meiryo UI"/>
      <b val="1"/>
      <color rgb="00C0392B"/>
      <sz val="10"/>
    </font>
    <font>
      <name val="Meiryo UI"/>
      <b val="1"/>
      <color rgb="00FFFFFF"/>
      <sz val="14"/>
    </font>
    <font>
      <name val="Consolas"/>
      <sz val="10"/>
    </font>
    <font>
      <name val="Consolas"/>
      <color rgb="007F8C8D"/>
      <sz val="10"/>
    </font>
    <font>
      <name val="Consolas"/>
      <b val="1"/>
      <color rgb="001F618D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ECF0F1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9">
    <dxf>
      <font>
        <name val="Meiryo UI"/>
        <b val="1"/>
        <color rgb="001B5E20"/>
        <sz val="10"/>
      </font>
      <fill>
        <patternFill patternType="solid">
          <fgColor rgb="00D4EDDA"/>
        </patternFill>
      </fill>
    </dxf>
    <dxf>
      <font>
        <name val="Meiryo UI"/>
        <b val="1"/>
        <color rgb="000D47A1"/>
        <sz val="10"/>
      </font>
      <fill>
        <patternFill patternType="solid">
          <fgColor rgb="00CCE5FF"/>
        </patternFill>
      </fill>
    </dxf>
    <dxf>
      <font>
        <name val="Meiryo UI"/>
        <b val="1"/>
        <color rgb="007D6608"/>
        <sz val="10"/>
      </font>
      <fill>
        <patternFill patternType="solid">
          <fgColor rgb="00FFF3CD"/>
        </patternFill>
      </fill>
    </dxf>
    <dxf>
      <font>
        <name val="Meiryo UI"/>
        <b val="1"/>
        <color rgb="006C3483"/>
        <sz val="10"/>
      </font>
      <fill>
        <patternFill patternType="solid">
          <fgColor rgb="00E8DAEF"/>
        </patternFill>
      </fill>
    </dxf>
    <dxf>
      <font>
        <name val="Meiryo UI"/>
        <b val="1"/>
        <color rgb="00A04000"/>
        <sz val="10"/>
      </font>
      <fill>
        <patternFill patternType="solid">
          <fgColor rgb="00FDEBD0"/>
        </patternFill>
      </fill>
    </dxf>
    <dxf>
      <font>
        <name val="Meiryo UI"/>
        <b val="1"/>
        <color rgb="007F8C8D"/>
        <sz val="10"/>
      </font>
      <fill>
        <patternFill patternType="solid">
          <fgColor rgb="00F2F3F4"/>
        </patternFill>
      </fill>
    </dxf>
    <dxf>
      <font>
        <name val="Meiryo UI"/>
        <b val="1"/>
        <color rgb="001A5276"/>
        <sz val="10"/>
      </font>
      <fill>
        <patternFill patternType="solid">
          <fgColor rgb="00D5F5E3"/>
        </patternFill>
      </fill>
    </dxf>
    <dxf>
      <font>
        <name val="Meiryo UI"/>
        <b val="1"/>
        <color rgb="00154360"/>
        <sz val="10"/>
      </font>
      <fill>
        <patternFill patternType="solid">
          <fgColor rgb="00EBF5FB"/>
        </patternFill>
      </fill>
    </dxf>
    <dxf>
      <font>
        <name val="Meiryo UI"/>
        <b val="1"/>
        <color rgb="00FFFFFF"/>
        <sz val="10"/>
      </font>
      <fill>
        <patternFill patternType="solid">
          <f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1" customWidth="1" min="5" max="5"/>
    <col width="11" customWidth="1" min="6" max="6"/>
    <col width="11" customWidth="1" min="7" max="7"/>
    <col width="9" customWidth="1" min="8" max="8"/>
    <col width="18" customWidth="1" min="9" max="9"/>
    <col width="12" customWidth="1" min="10" max="10"/>
    <col width="10" customWidth="1" min="11" max="11"/>
    <col width="22" customWidth="1" min="12" max="12"/>
  </cols>
  <sheetData>
    <row r="1" ht="28" customHeight="1">
      <c r="A1" s="1" t="inlineStr">
        <is>
          <t>No.</t>
        </is>
      </c>
      <c r="B1" s="1" t="inlineStr">
        <is>
          <t>職員名</t>
        </is>
      </c>
      <c r="C1" s="1" t="inlineStr">
        <is>
          <t>フリガナ</t>
        </is>
      </c>
      <c r="D1" s="1" t="inlineStr">
        <is>
          <t>雇用形態</t>
        </is>
      </c>
      <c r="E1" s="1" t="inlineStr">
        <is>
          <t>外国人区分</t>
        </is>
      </c>
      <c r="F1" s="1" t="inlineStr">
        <is>
          <t>介護福祉士</t>
        </is>
      </c>
      <c r="G1" s="1" t="inlineStr">
        <is>
          <t>社会福祉士</t>
        </is>
      </c>
      <c r="H1" s="1" t="inlineStr">
        <is>
          <t>ケアマネ</t>
        </is>
      </c>
      <c r="I1" s="1" t="inlineStr">
        <is>
          <t>その他資格</t>
        </is>
      </c>
      <c r="J1" s="1" t="inlineStr">
        <is>
          <t>連勤上限(日)</t>
        </is>
      </c>
      <c r="K1" s="1" t="inlineStr">
        <is>
          <t>夜勤可否</t>
        </is>
      </c>
      <c r="L1" s="1" t="inlineStr">
        <is>
          <t>備考</t>
        </is>
      </c>
    </row>
    <row r="2">
      <c r="A2" s="2" t="n">
        <v>1</v>
      </c>
      <c r="B2" s="3" t="inlineStr">
        <is>
          <t>佐藤 健一</t>
        </is>
      </c>
      <c r="C2" s="3" t="inlineStr">
        <is>
          <t>サトウ ケンイチ</t>
        </is>
      </c>
      <c r="D2" s="2" t="inlineStr">
        <is>
          <t>正職員</t>
        </is>
      </c>
      <c r="E2" s="2" t="inlineStr">
        <is>
          <t>日本人</t>
        </is>
      </c>
      <c r="F2" s="2" t="inlineStr">
        <is>
          <t>○</t>
        </is>
      </c>
      <c r="G2" s="2" t="inlineStr"/>
      <c r="H2" s="2" t="inlineStr"/>
      <c r="I2" s="3" t="inlineStr"/>
      <c r="J2" s="2" t="n">
        <v>5</v>
      </c>
      <c r="K2" s="2" t="inlineStr">
        <is>
          <t>可</t>
        </is>
      </c>
      <c r="L2" s="3" t="inlineStr">
        <is>
          <t>管理者</t>
        </is>
      </c>
    </row>
    <row r="3">
      <c r="A3" s="4" t="n">
        <v>2</v>
      </c>
      <c r="B3" s="5" t="inlineStr">
        <is>
          <t>鈴木 美咲</t>
        </is>
      </c>
      <c r="C3" s="5" t="inlineStr">
        <is>
          <t>スズキ ミサキ</t>
        </is>
      </c>
      <c r="D3" s="4" t="inlineStr">
        <is>
          <t>正職員</t>
        </is>
      </c>
      <c r="E3" s="4" t="inlineStr">
        <is>
          <t>日本人</t>
        </is>
      </c>
      <c r="F3" s="4" t="inlineStr">
        <is>
          <t>○</t>
        </is>
      </c>
      <c r="G3" s="4" t="inlineStr"/>
      <c r="H3" s="4" t="inlineStr"/>
      <c r="I3" s="5" t="inlineStr"/>
      <c r="J3" s="4" t="n">
        <v>5</v>
      </c>
      <c r="K3" s="4" t="inlineStr">
        <is>
          <t>可</t>
        </is>
      </c>
      <c r="L3" s="5" t="inlineStr"/>
    </row>
    <row r="4">
      <c r="A4" s="2" t="n">
        <v>3</v>
      </c>
      <c r="B4" s="3" t="inlineStr">
        <is>
          <t>高橋 大輔</t>
        </is>
      </c>
      <c r="C4" s="3" t="inlineStr">
        <is>
          <t>タカハシ ダイスケ</t>
        </is>
      </c>
      <c r="D4" s="2" t="inlineStr">
        <is>
          <t>正職員</t>
        </is>
      </c>
      <c r="E4" s="2" t="inlineStr">
        <is>
          <t>日本人</t>
        </is>
      </c>
      <c r="F4" s="2" t="inlineStr">
        <is>
          <t>○</t>
        </is>
      </c>
      <c r="G4" s="2" t="inlineStr"/>
      <c r="H4" s="2" t="inlineStr">
        <is>
          <t>○</t>
        </is>
      </c>
      <c r="I4" s="3" t="inlineStr"/>
      <c r="J4" s="2" t="n">
        <v>5</v>
      </c>
      <c r="K4" s="2" t="inlineStr">
        <is>
          <t>可</t>
        </is>
      </c>
      <c r="L4" s="3" t="inlineStr"/>
    </row>
    <row r="5">
      <c r="A5" s="4" t="n">
        <v>4</v>
      </c>
      <c r="B5" s="5" t="inlineStr">
        <is>
          <t>田中 由美</t>
        </is>
      </c>
      <c r="C5" s="5" t="inlineStr">
        <is>
          <t>タナカ ユミ</t>
        </is>
      </c>
      <c r="D5" s="4" t="inlineStr">
        <is>
          <t>正職員</t>
        </is>
      </c>
      <c r="E5" s="4" t="inlineStr">
        <is>
          <t>日本人</t>
        </is>
      </c>
      <c r="F5" s="4" t="inlineStr"/>
      <c r="G5" s="4" t="inlineStr">
        <is>
          <t>○</t>
        </is>
      </c>
      <c r="H5" s="4" t="inlineStr"/>
      <c r="I5" s="5" t="inlineStr">
        <is>
          <t>初任者研修</t>
        </is>
      </c>
      <c r="J5" s="4" t="n">
        <v>5</v>
      </c>
      <c r="K5" s="4" t="inlineStr">
        <is>
          <t>可</t>
        </is>
      </c>
      <c r="L5" s="5" t="inlineStr"/>
    </row>
    <row r="6">
      <c r="A6" s="2" t="n">
        <v>5</v>
      </c>
      <c r="B6" s="3" t="inlineStr">
        <is>
          <t>伊藤 翔太</t>
        </is>
      </c>
      <c r="C6" s="3" t="inlineStr">
        <is>
          <t>イトウ ショウタ</t>
        </is>
      </c>
      <c r="D6" s="2" t="inlineStr">
        <is>
          <t>正職員</t>
        </is>
      </c>
      <c r="E6" s="2" t="inlineStr">
        <is>
          <t>日本人</t>
        </is>
      </c>
      <c r="F6" s="2" t="inlineStr">
        <is>
          <t>○</t>
        </is>
      </c>
      <c r="G6" s="2" t="inlineStr"/>
      <c r="H6" s="2" t="inlineStr"/>
      <c r="I6" s="3" t="inlineStr"/>
      <c r="J6" s="2" t="n">
        <v>5</v>
      </c>
      <c r="K6" s="2" t="inlineStr">
        <is>
          <t>可</t>
        </is>
      </c>
      <c r="L6" s="3" t="inlineStr"/>
    </row>
    <row r="7">
      <c r="A7" s="4" t="n">
        <v>6</v>
      </c>
      <c r="B7" s="5" t="inlineStr">
        <is>
          <t>渡辺 真理</t>
        </is>
      </c>
      <c r="C7" s="5" t="inlineStr">
        <is>
          <t>ワタナベ マリ</t>
        </is>
      </c>
      <c r="D7" s="4" t="inlineStr">
        <is>
          <t>パート</t>
        </is>
      </c>
      <c r="E7" s="4" t="inlineStr">
        <is>
          <t>日本人</t>
        </is>
      </c>
      <c r="F7" s="4" t="inlineStr"/>
      <c r="G7" s="4" t="inlineStr"/>
      <c r="H7" s="4" t="inlineStr"/>
      <c r="I7" s="5" t="inlineStr">
        <is>
          <t>実務者研修</t>
        </is>
      </c>
      <c r="J7" s="4" t="n">
        <v>4</v>
      </c>
      <c r="K7" s="4" t="inlineStr">
        <is>
          <t>否</t>
        </is>
      </c>
      <c r="L7" s="5" t="inlineStr">
        <is>
          <t>週3勤務</t>
        </is>
      </c>
    </row>
    <row r="8">
      <c r="A8" s="2" t="n">
        <v>7</v>
      </c>
      <c r="B8" s="3" t="inlineStr">
        <is>
          <t>山本 直樹</t>
        </is>
      </c>
      <c r="C8" s="3" t="inlineStr">
        <is>
          <t>ヤマモト ナオキ</t>
        </is>
      </c>
      <c r="D8" s="2" t="inlineStr">
        <is>
          <t>正職員</t>
        </is>
      </c>
      <c r="E8" s="2" t="inlineStr">
        <is>
          <t>日本人</t>
        </is>
      </c>
      <c r="F8" s="2" t="inlineStr">
        <is>
          <t>○</t>
        </is>
      </c>
      <c r="G8" s="2" t="inlineStr"/>
      <c r="H8" s="2" t="inlineStr"/>
      <c r="I8" s="3" t="inlineStr"/>
      <c r="J8" s="2" t="n">
        <v>5</v>
      </c>
      <c r="K8" s="2" t="inlineStr">
        <is>
          <t>可</t>
        </is>
      </c>
      <c r="L8" s="3" t="inlineStr"/>
    </row>
    <row r="9">
      <c r="A9" s="4" t="n">
        <v>8</v>
      </c>
      <c r="B9" s="5" t="inlineStr">
        <is>
          <t>中村 さくら</t>
        </is>
      </c>
      <c r="C9" s="5" t="inlineStr">
        <is>
          <t>ナカムラ サクラ</t>
        </is>
      </c>
      <c r="D9" s="4" t="inlineStr">
        <is>
          <t>パート</t>
        </is>
      </c>
      <c r="E9" s="4" t="inlineStr">
        <is>
          <t>日本人</t>
        </is>
      </c>
      <c r="F9" s="4" t="inlineStr"/>
      <c r="G9" s="4" t="inlineStr"/>
      <c r="H9" s="4" t="inlineStr"/>
      <c r="I9" s="5" t="inlineStr">
        <is>
          <t>初任者研修</t>
        </is>
      </c>
      <c r="J9" s="4" t="n">
        <v>4</v>
      </c>
      <c r="K9" s="4" t="inlineStr">
        <is>
          <t>否</t>
        </is>
      </c>
      <c r="L9" s="5" t="inlineStr">
        <is>
          <t>週4勤務</t>
        </is>
      </c>
    </row>
    <row r="10">
      <c r="A10" s="2" t="n">
        <v>9</v>
      </c>
      <c r="B10" s="3" t="inlineStr">
        <is>
          <t>小林 健二</t>
        </is>
      </c>
      <c r="C10" s="3" t="inlineStr">
        <is>
          <t>コバヤシ ケンジ</t>
        </is>
      </c>
      <c r="D10" s="2" t="inlineStr">
        <is>
          <t>正職員</t>
        </is>
      </c>
      <c r="E10" s="2" t="inlineStr">
        <is>
          <t>日本人</t>
        </is>
      </c>
      <c r="F10" s="2" t="inlineStr"/>
      <c r="G10" s="2" t="inlineStr"/>
      <c r="H10" s="2" t="inlineStr">
        <is>
          <t>○</t>
        </is>
      </c>
      <c r="I10" s="3" t="inlineStr"/>
      <c r="J10" s="2" t="n">
        <v>5</v>
      </c>
      <c r="K10" s="2" t="inlineStr">
        <is>
          <t>可</t>
        </is>
      </c>
      <c r="L10" s="3" t="inlineStr"/>
    </row>
    <row r="11">
      <c r="A11" s="4" t="n">
        <v>10</v>
      </c>
      <c r="B11" s="5" t="inlineStr">
        <is>
          <t>加藤 麻衣</t>
        </is>
      </c>
      <c r="C11" s="5" t="inlineStr">
        <is>
          <t>カトウ マイ</t>
        </is>
      </c>
      <c r="D11" s="4" t="inlineStr">
        <is>
          <t>正職員</t>
        </is>
      </c>
      <c r="E11" s="4" t="inlineStr">
        <is>
          <t>日本人</t>
        </is>
      </c>
      <c r="F11" s="4" t="inlineStr">
        <is>
          <t>○</t>
        </is>
      </c>
      <c r="G11" s="4" t="inlineStr"/>
      <c r="H11" s="4" t="inlineStr"/>
      <c r="I11" s="5" t="inlineStr"/>
      <c r="J11" s="4" t="n">
        <v>5</v>
      </c>
      <c r="K11" s="4" t="inlineStr">
        <is>
          <t>可</t>
        </is>
      </c>
      <c r="L11" s="5" t="inlineStr"/>
    </row>
    <row r="12">
      <c r="A12" s="2" t="n">
        <v>11</v>
      </c>
      <c r="B12" s="3" t="inlineStr">
        <is>
          <t>吉田 太郎</t>
        </is>
      </c>
      <c r="C12" s="3" t="inlineStr">
        <is>
          <t>ヨシダ タロウ</t>
        </is>
      </c>
      <c r="D12" s="2" t="inlineStr">
        <is>
          <t>パート</t>
        </is>
      </c>
      <c r="E12" s="2" t="inlineStr">
        <is>
          <t>日本人</t>
        </is>
      </c>
      <c r="F12" s="2" t="inlineStr"/>
      <c r="G12" s="2" t="inlineStr"/>
      <c r="H12" s="2" t="inlineStr"/>
      <c r="I12" s="3" t="inlineStr"/>
      <c r="J12" s="2" t="n">
        <v>3</v>
      </c>
      <c r="K12" s="2" t="inlineStr">
        <is>
          <t>否</t>
        </is>
      </c>
      <c r="L12" s="3" t="inlineStr">
        <is>
          <t>週2勤務</t>
        </is>
      </c>
    </row>
    <row r="13">
      <c r="A13" s="4" t="n">
        <v>12</v>
      </c>
      <c r="B13" s="5" t="inlineStr">
        <is>
          <t>山田 花子</t>
        </is>
      </c>
      <c r="C13" s="5" t="inlineStr">
        <is>
          <t>ヤマダ ハナコ</t>
        </is>
      </c>
      <c r="D13" s="4" t="inlineStr">
        <is>
          <t>正職員</t>
        </is>
      </c>
      <c r="E13" s="4" t="inlineStr">
        <is>
          <t>日本人</t>
        </is>
      </c>
      <c r="F13" s="4" t="inlineStr">
        <is>
          <t>○</t>
        </is>
      </c>
      <c r="G13" s="4" t="inlineStr"/>
      <c r="H13" s="4" t="inlineStr"/>
      <c r="I13" s="5" t="inlineStr"/>
      <c r="J13" s="4" t="n">
        <v>5</v>
      </c>
      <c r="K13" s="4" t="inlineStr">
        <is>
          <t>可</t>
        </is>
      </c>
      <c r="L13" s="5" t="inlineStr"/>
    </row>
    <row r="14">
      <c r="A14" s="2" t="n">
        <v>13</v>
      </c>
      <c r="B14" s="3" t="inlineStr">
        <is>
          <t>ビカス シュレスタ</t>
        </is>
      </c>
      <c r="C14" s="3" t="inlineStr">
        <is>
          <t>ビカス シュレスタ</t>
        </is>
      </c>
      <c r="D14" s="2" t="inlineStr">
        <is>
          <t>正職員</t>
        </is>
      </c>
      <c r="E14" s="2" t="inlineStr">
        <is>
          <t>外国人</t>
        </is>
      </c>
      <c r="F14" s="2" t="inlineStr"/>
      <c r="G14" s="2" t="inlineStr"/>
      <c r="H14" s="2" t="inlineStr"/>
      <c r="I14" s="3" t="inlineStr">
        <is>
          <t>EPA介護福祉士候補</t>
        </is>
      </c>
      <c r="J14" s="2" t="n">
        <v>5</v>
      </c>
      <c r="K14" s="2" t="inlineStr">
        <is>
          <t>可</t>
        </is>
      </c>
      <c r="L14" s="3" t="inlineStr">
        <is>
          <t>ネパール出身</t>
        </is>
      </c>
    </row>
    <row r="15">
      <c r="A15" s="4" t="n">
        <v>14</v>
      </c>
      <c r="B15" s="5" t="inlineStr">
        <is>
          <t>サンディヤ タマン</t>
        </is>
      </c>
      <c r="C15" s="5" t="inlineStr">
        <is>
          <t>サンディヤ タマン</t>
        </is>
      </c>
      <c r="D15" s="4" t="inlineStr">
        <is>
          <t>正職員</t>
        </is>
      </c>
      <c r="E15" s="4" t="inlineStr">
        <is>
          <t>外国人</t>
        </is>
      </c>
      <c r="F15" s="4" t="inlineStr">
        <is>
          <t>○</t>
        </is>
      </c>
      <c r="G15" s="4" t="inlineStr"/>
      <c r="H15" s="4" t="inlineStr"/>
      <c r="I15" s="5" t="inlineStr"/>
      <c r="J15" s="4" t="n">
        <v>5</v>
      </c>
      <c r="K15" s="4" t="inlineStr">
        <is>
          <t>可</t>
        </is>
      </c>
      <c r="L15" s="5" t="inlineStr">
        <is>
          <t>ネパール出身</t>
        </is>
      </c>
    </row>
    <row r="16">
      <c r="A16" s="2" t="n">
        <v>15</v>
      </c>
      <c r="B16" s="3" t="inlineStr">
        <is>
          <t>プラディープ グルン</t>
        </is>
      </c>
      <c r="C16" s="3" t="inlineStr">
        <is>
          <t>プラディープ グルン</t>
        </is>
      </c>
      <c r="D16" s="2" t="inlineStr">
        <is>
          <t>正職員</t>
        </is>
      </c>
      <c r="E16" s="2" t="inlineStr">
        <is>
          <t>外国人</t>
        </is>
      </c>
      <c r="F16" s="2" t="inlineStr"/>
      <c r="G16" s="2" t="inlineStr"/>
      <c r="H16" s="2" t="inlineStr"/>
      <c r="I16" s="3" t="inlineStr">
        <is>
          <t>実務者研修</t>
        </is>
      </c>
      <c r="J16" s="2" t="n">
        <v>5</v>
      </c>
      <c r="K16" s="2" t="inlineStr">
        <is>
          <t>可</t>
        </is>
      </c>
      <c r="L16" s="3" t="inlineStr">
        <is>
          <t>ネパール出身</t>
        </is>
      </c>
    </row>
  </sheetData>
  <dataValidations count="3">
    <dataValidation sqref="D2:D100" showDropDown="0" showInputMessage="0" showErrorMessage="0" allowBlank="1" type="list">
      <formula1>"正職員,パート,その他"</formula1>
    </dataValidation>
    <dataValidation sqref="E2:E100" showDropDown="0" showInputMessage="0" showErrorMessage="0" allowBlank="1" type="list">
      <formula1>"日本人,外国人"</formula1>
    </dataValidation>
    <dataValidation sqref="K2:K100" showDropDown="0" showInputMessage="0" showErrorMessage="0" allowBlank="1" type="list">
      <formula1>"可,否"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</cols>
  <sheetData>
    <row r="2">
      <c r="B2" s="6" t="inlineStr">
        <is>
          <t>■ 勤務区分テーブル</t>
        </is>
      </c>
    </row>
    <row r="3" ht="26" customHeight="1">
      <c r="B3" s="1" t="inlineStr">
        <is>
          <t>区分コード</t>
        </is>
      </c>
      <c r="C3" s="1" t="inlineStr">
        <is>
          <t>表示名</t>
        </is>
      </c>
      <c r="D3" s="1" t="inlineStr">
        <is>
          <t>開始時刻</t>
        </is>
      </c>
      <c r="E3" s="1" t="inlineStr">
        <is>
          <t>終了時刻</t>
        </is>
      </c>
      <c r="F3" s="1" t="inlineStr">
        <is>
          <t>勤務時間</t>
        </is>
      </c>
      <c r="G3" s="1" t="inlineStr">
        <is>
          <t>背景色コード</t>
        </is>
      </c>
      <c r="H3" s="1" t="inlineStr">
        <is>
          <t>文字色コード</t>
        </is>
      </c>
    </row>
    <row r="4">
      <c r="B4" s="2" t="inlineStr">
        <is>
          <t>早</t>
        </is>
      </c>
      <c r="C4" s="2" t="inlineStr">
        <is>
          <t>早番</t>
        </is>
      </c>
      <c r="D4" s="2" t="inlineStr">
        <is>
          <t>07:00</t>
        </is>
      </c>
      <c r="E4" s="2" t="inlineStr">
        <is>
          <t>16:00</t>
        </is>
      </c>
      <c r="F4" s="2" t="n">
        <v>8</v>
      </c>
      <c r="G4" s="2" t="inlineStr">
        <is>
          <t>D4EDDA</t>
        </is>
      </c>
      <c r="H4" s="2" t="inlineStr">
        <is>
          <t>1B5E20</t>
        </is>
      </c>
    </row>
    <row r="5">
      <c r="B5" s="2" t="inlineStr">
        <is>
          <t>日</t>
        </is>
      </c>
      <c r="C5" s="2" t="inlineStr">
        <is>
          <t>日勤</t>
        </is>
      </c>
      <c r="D5" s="2" t="inlineStr">
        <is>
          <t>09:00</t>
        </is>
      </c>
      <c r="E5" s="2" t="inlineStr">
        <is>
          <t>18:00</t>
        </is>
      </c>
      <c r="F5" s="2" t="n">
        <v>8</v>
      </c>
      <c r="G5" s="2" t="inlineStr">
        <is>
          <t>CCE5FF</t>
        </is>
      </c>
      <c r="H5" s="2" t="inlineStr">
        <is>
          <t>0D47A1</t>
        </is>
      </c>
    </row>
    <row r="6">
      <c r="B6" s="2" t="inlineStr">
        <is>
          <t>遅</t>
        </is>
      </c>
      <c r="C6" s="2" t="inlineStr">
        <is>
          <t>遅番</t>
        </is>
      </c>
      <c r="D6" s="2" t="inlineStr">
        <is>
          <t>11:00</t>
        </is>
      </c>
      <c r="E6" s="2" t="inlineStr">
        <is>
          <t>20:00</t>
        </is>
      </c>
      <c r="F6" s="2" t="n">
        <v>8</v>
      </c>
      <c r="G6" s="2" t="inlineStr">
        <is>
          <t>FFF3CD</t>
        </is>
      </c>
      <c r="H6" s="2" t="inlineStr">
        <is>
          <t>7D6608</t>
        </is>
      </c>
    </row>
    <row r="7">
      <c r="B7" s="2" t="inlineStr">
        <is>
          <t>夜</t>
        </is>
      </c>
      <c r="C7" s="2" t="inlineStr">
        <is>
          <t>夜勤(宿直)</t>
        </is>
      </c>
      <c r="D7" s="2" t="inlineStr">
        <is>
          <t>17:00</t>
        </is>
      </c>
      <c r="E7" s="2" t="inlineStr">
        <is>
          <t>10:00</t>
        </is>
      </c>
      <c r="F7" s="2" t="n">
        <v>16</v>
      </c>
      <c r="G7" s="2" t="inlineStr">
        <is>
          <t>E8DAEF</t>
        </is>
      </c>
      <c r="H7" s="2" t="inlineStr">
        <is>
          <t>6C3483</t>
        </is>
      </c>
    </row>
    <row r="8">
      <c r="B8" s="2" t="inlineStr">
        <is>
          <t>明</t>
        </is>
      </c>
      <c r="C8" s="2" t="inlineStr">
        <is>
          <t>明け番</t>
        </is>
      </c>
      <c r="D8" s="2" t="inlineStr">
        <is>
          <t>00:00</t>
        </is>
      </c>
      <c r="E8" s="2" t="inlineStr">
        <is>
          <t>10:00</t>
        </is>
      </c>
      <c r="F8" s="2" t="n">
        <v>0</v>
      </c>
      <c r="G8" s="2" t="inlineStr">
        <is>
          <t>FDEBD0</t>
        </is>
      </c>
      <c r="H8" s="2" t="inlineStr">
        <is>
          <t>A04000</t>
        </is>
      </c>
    </row>
    <row r="9">
      <c r="B9" s="2" t="inlineStr">
        <is>
          <t>休</t>
        </is>
      </c>
      <c r="C9" s="2" t="inlineStr">
        <is>
          <t>公休</t>
        </is>
      </c>
      <c r="D9" s="2" t="inlineStr"/>
      <c r="E9" s="2" t="inlineStr"/>
      <c r="F9" s="2" t="n">
        <v>0</v>
      </c>
      <c r="G9" s="2" t="inlineStr">
        <is>
          <t>F2F3F4</t>
        </is>
      </c>
      <c r="H9" s="2" t="inlineStr">
        <is>
          <t>7F8C8D</t>
        </is>
      </c>
    </row>
    <row r="10">
      <c r="B10" s="2" t="inlineStr">
        <is>
          <t>有</t>
        </is>
      </c>
      <c r="C10" s="2" t="inlineStr">
        <is>
          <t>有給</t>
        </is>
      </c>
      <c r="D10" s="2" t="inlineStr"/>
      <c r="E10" s="2" t="inlineStr"/>
      <c r="F10" s="2" t="n">
        <v>8</v>
      </c>
      <c r="G10" s="2" t="inlineStr">
        <is>
          <t>D5F5E3</t>
        </is>
      </c>
      <c r="H10" s="2" t="inlineStr">
        <is>
          <t>1A5276</t>
        </is>
      </c>
    </row>
    <row r="11">
      <c r="B11" s="2" t="inlineStr">
        <is>
          <t>P</t>
        </is>
      </c>
      <c r="C11" s="2" t="inlineStr">
        <is>
          <t>パート勤務</t>
        </is>
      </c>
      <c r="D11" s="2" t="inlineStr">
        <is>
          <t>09:00</t>
        </is>
      </c>
      <c r="E11" s="2" t="inlineStr">
        <is>
          <t>13:00</t>
        </is>
      </c>
      <c r="F11" s="2" t="n">
        <v>4</v>
      </c>
      <c r="G11" s="2" t="inlineStr">
        <is>
          <t>EBF5FB</t>
        </is>
      </c>
      <c r="H11" s="2" t="inlineStr">
        <is>
          <t>154360</t>
        </is>
      </c>
    </row>
    <row r="14">
      <c r="B14" s="6" t="inlineStr">
        <is>
          <t>■ 配置ルールテーブル</t>
        </is>
      </c>
    </row>
    <row r="15" ht="26" customHeight="1">
      <c r="B15" s="1" t="inlineStr">
        <is>
          <t>ルール項目</t>
        </is>
      </c>
      <c r="C15" s="1" t="inlineStr">
        <is>
          <t>設定値</t>
        </is>
      </c>
    </row>
    <row r="16">
      <c r="B16" s="3" t="inlineStr">
        <is>
          <t>夜勤者数（1日あたり）</t>
        </is>
      </c>
      <c r="C16" s="2" t="n">
        <v>2</v>
      </c>
    </row>
    <row r="17">
      <c r="B17" s="3" t="inlineStr">
        <is>
          <t>夜勤者のうち外国人上限</t>
        </is>
      </c>
      <c r="C17" s="2" t="n">
        <v>1</v>
      </c>
    </row>
    <row r="18">
      <c r="B18" s="3" t="inlineStr">
        <is>
          <t>日中最低出勤者数</t>
        </is>
      </c>
      <c r="C18" s="2" t="n">
        <v>3</v>
      </c>
    </row>
    <row r="19">
      <c r="B19" s="3" t="inlineStr">
        <is>
          <t>連勤上限（デフォルト）</t>
        </is>
      </c>
      <c r="C19" s="2" t="n">
        <v>5</v>
      </c>
    </row>
    <row r="20">
      <c r="B20" s="3" t="inlineStr">
        <is>
          <t>月夜勤回数の均等化</t>
        </is>
      </c>
      <c r="C20" s="2" t="inlineStr">
        <is>
          <t>する</t>
        </is>
      </c>
    </row>
    <row r="21">
      <c r="B21" s="3" t="inlineStr">
        <is>
          <t>有資格者(介護福祉士)最低配置数</t>
        </is>
      </c>
      <c r="C2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7" t="inlineStr">
        <is>
          <t>対象年月</t>
        </is>
      </c>
      <c r="B1" s="8" t="inlineStr">
        <is>
          <t>2026/05</t>
        </is>
      </c>
      <c r="D1" s="9" t="inlineStr">
        <is>
          <t>※ 各セルにドロップダウンから希望区分を選択してください（早/日/遅/夜/明/休/有/P）</t>
        </is>
      </c>
    </row>
    <row r="2" ht="24" customHeight="1">
      <c r="A2" s="1" t="inlineStr">
        <is>
          <t>No.</t>
        </is>
      </c>
      <c r="B2" s="1" t="inlineStr">
        <is>
          <t>職員名</t>
        </is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  <c r="AA2" s="1" t="n">
        <v>25</v>
      </c>
      <c r="AB2" s="1" t="n">
        <v>26</v>
      </c>
      <c r="AC2" s="1" t="n">
        <v>27</v>
      </c>
      <c r="AD2" s="1" t="n">
        <v>28</v>
      </c>
      <c r="AE2" s="1" t="n">
        <v>29</v>
      </c>
      <c r="AF2" s="1" t="n">
        <v>30</v>
      </c>
      <c r="AG2" s="1" t="n">
        <v>31</v>
      </c>
    </row>
    <row r="3">
      <c r="A3" s="2">
        <f>職員マスタ!A2</f>
        <v/>
      </c>
      <c r="B3" s="3">
        <f>職員マスタ!B2</f>
        <v/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4">
        <f>職員マスタ!A3</f>
        <v/>
      </c>
      <c r="B4" s="5">
        <f>職員マスタ!B3</f>
        <v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2">
        <f>職員マスタ!A4</f>
        <v/>
      </c>
      <c r="B5" s="3">
        <f>職員マスタ!B4</f>
        <v/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4">
        <f>職員マスタ!A5</f>
        <v/>
      </c>
      <c r="B6" s="5">
        <f>職員マスタ!B5</f>
        <v/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2">
        <f>職員マスタ!A6</f>
        <v/>
      </c>
      <c r="B7" s="3">
        <f>職員マスタ!B6</f>
        <v/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4">
        <f>職員マスタ!A7</f>
        <v/>
      </c>
      <c r="B8" s="5">
        <f>職員マスタ!B7</f>
        <v/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2">
        <f>職員マスタ!A8</f>
        <v/>
      </c>
      <c r="B9" s="3">
        <f>職員マスタ!B8</f>
        <v/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4">
        <f>職員マスタ!A9</f>
        <v/>
      </c>
      <c r="B10" s="5">
        <f>職員マスタ!B9</f>
        <v/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2">
        <f>職員マスタ!A10</f>
        <v/>
      </c>
      <c r="B11" s="3">
        <f>職員マスタ!B10</f>
        <v/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s="4">
        <f>職員マスタ!A11</f>
        <v/>
      </c>
      <c r="B12" s="5">
        <f>職員マスタ!B11</f>
        <v/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2">
        <f>職員マスタ!A12</f>
        <v/>
      </c>
      <c r="B13" s="3">
        <f>職員マスタ!B12</f>
        <v/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4">
        <f>職員マスタ!A13</f>
        <v/>
      </c>
      <c r="B14" s="5">
        <f>職員マスタ!B13</f>
        <v/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2">
        <f>職員マスタ!A14</f>
        <v/>
      </c>
      <c r="B15" s="3">
        <f>職員マスタ!B14</f>
        <v/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4">
        <f>職員マスタ!A15</f>
        <v/>
      </c>
      <c r="B16" s="5">
        <f>職員マスタ!B15</f>
        <v/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2">
        <f>職員マスタ!A16</f>
        <v/>
      </c>
      <c r="B17" s="3">
        <f>職員マスタ!B16</f>
        <v/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</sheetData>
  <dataValidations count="1">
    <dataValidation sqref="C3:AG17" showDropDown="0" showInputMessage="0" showErrorMessage="0" allowBlank="1" type="list">
      <formula1>"早,日,遅,夜,明,休,有,P"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7" t="inlineStr">
        <is>
          <t>対象年月</t>
        </is>
      </c>
      <c r="B1" s="8">
        <f>希望シフト入力!B1</f>
        <v/>
      </c>
    </row>
    <row r="2" ht="24" customHeight="1">
      <c r="A2" s="1" t="inlineStr">
        <is>
          <t>No.</t>
        </is>
      </c>
      <c r="B2" s="1" t="inlineStr">
        <is>
          <t>職員名</t>
        </is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  <c r="AA2" s="1" t="n">
        <v>25</v>
      </c>
      <c r="AB2" s="1" t="n">
        <v>26</v>
      </c>
      <c r="AC2" s="1" t="n">
        <v>27</v>
      </c>
      <c r="AD2" s="1" t="n">
        <v>28</v>
      </c>
      <c r="AE2" s="1" t="n">
        <v>29</v>
      </c>
      <c r="AF2" s="1" t="n">
        <v>30</v>
      </c>
      <c r="AG2" s="1" t="n">
        <v>31</v>
      </c>
      <c r="AH2" s="1" t="inlineStr">
        <is>
          <t>出勤日数</t>
        </is>
      </c>
      <c r="AI2" s="1" t="inlineStr">
        <is>
          <t>夜勤回数</t>
        </is>
      </c>
      <c r="AJ2" s="1" t="inlineStr">
        <is>
          <t>公休日数</t>
        </is>
      </c>
      <c r="AK2" s="1" t="inlineStr">
        <is>
          <t>有給日数</t>
        </is>
      </c>
    </row>
    <row r="3">
      <c r="A3" s="2">
        <f>職員マスタ!A2</f>
        <v/>
      </c>
      <c r="B3" s="3">
        <f>職員マスタ!B2</f>
        <v/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10">
        <f>COUNTIF(C3:AG3,"早")+COUNTIF(C3:AG3,"日")+COUNTIF(C3:AG3,"遅")+COUNTIF(C3:AG3,"夜")+COUNTIF(C3:AG3,"明")+COUNTIF(C3:AG3,"P")</f>
        <v/>
      </c>
      <c r="AI3" s="10">
        <f>COUNTIF(C3:AG3,"夜")</f>
        <v/>
      </c>
      <c r="AJ3" s="10">
        <f>COUNTIF(C3:AG3,"休")</f>
        <v/>
      </c>
      <c r="AK3" s="10">
        <f>COUNTIF(C3:AG3,"有")</f>
        <v/>
      </c>
    </row>
    <row r="4">
      <c r="A4" s="2">
        <f>職員マスタ!A3</f>
        <v/>
      </c>
      <c r="B4" s="3">
        <f>職員マスタ!B3</f>
        <v/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10">
        <f>COUNTIF(C4:AG4,"早")+COUNTIF(C4:AG4,"日")+COUNTIF(C4:AG4,"遅")+COUNTIF(C4:AG4,"夜")+COUNTIF(C4:AG4,"明")+COUNTIF(C4:AG4,"P")</f>
        <v/>
      </c>
      <c r="AI4" s="10">
        <f>COUNTIF(C4:AG4,"夜")</f>
        <v/>
      </c>
      <c r="AJ4" s="10">
        <f>COUNTIF(C4:AG4,"休")</f>
        <v/>
      </c>
      <c r="AK4" s="10">
        <f>COUNTIF(C4:AG4,"有")</f>
        <v/>
      </c>
    </row>
    <row r="5">
      <c r="A5" s="2">
        <f>職員マスタ!A4</f>
        <v/>
      </c>
      <c r="B5" s="3">
        <f>職員マスタ!B4</f>
        <v/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10">
        <f>COUNTIF(C5:AG5,"早")+COUNTIF(C5:AG5,"日")+COUNTIF(C5:AG5,"遅")+COUNTIF(C5:AG5,"夜")+COUNTIF(C5:AG5,"明")+COUNTIF(C5:AG5,"P")</f>
        <v/>
      </c>
      <c r="AI5" s="10">
        <f>COUNTIF(C5:AG5,"夜")</f>
        <v/>
      </c>
      <c r="AJ5" s="10">
        <f>COUNTIF(C5:AG5,"休")</f>
        <v/>
      </c>
      <c r="AK5" s="10">
        <f>COUNTIF(C5:AG5,"有")</f>
        <v/>
      </c>
    </row>
    <row r="6">
      <c r="A6" s="2">
        <f>職員マスタ!A5</f>
        <v/>
      </c>
      <c r="B6" s="3">
        <f>職員マスタ!B5</f>
        <v/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10">
        <f>COUNTIF(C6:AG6,"早")+COUNTIF(C6:AG6,"日")+COUNTIF(C6:AG6,"遅")+COUNTIF(C6:AG6,"夜")+COUNTIF(C6:AG6,"明")+COUNTIF(C6:AG6,"P")</f>
        <v/>
      </c>
      <c r="AI6" s="10">
        <f>COUNTIF(C6:AG6,"夜")</f>
        <v/>
      </c>
      <c r="AJ6" s="10">
        <f>COUNTIF(C6:AG6,"休")</f>
        <v/>
      </c>
      <c r="AK6" s="10">
        <f>COUNTIF(C6:AG6,"有")</f>
        <v/>
      </c>
    </row>
    <row r="7">
      <c r="A7" s="2">
        <f>職員マスタ!A6</f>
        <v/>
      </c>
      <c r="B7" s="3">
        <f>職員マスタ!B6</f>
        <v/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10">
        <f>COUNTIF(C7:AG7,"早")+COUNTIF(C7:AG7,"日")+COUNTIF(C7:AG7,"遅")+COUNTIF(C7:AG7,"夜")+COUNTIF(C7:AG7,"明")+COUNTIF(C7:AG7,"P")</f>
        <v/>
      </c>
      <c r="AI7" s="10">
        <f>COUNTIF(C7:AG7,"夜")</f>
        <v/>
      </c>
      <c r="AJ7" s="10">
        <f>COUNTIF(C7:AG7,"休")</f>
        <v/>
      </c>
      <c r="AK7" s="10">
        <f>COUNTIF(C7:AG7,"有")</f>
        <v/>
      </c>
    </row>
    <row r="8">
      <c r="A8" s="2">
        <f>職員マスタ!A7</f>
        <v/>
      </c>
      <c r="B8" s="3">
        <f>職員マスタ!B7</f>
        <v/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10">
        <f>COUNTIF(C8:AG8,"早")+COUNTIF(C8:AG8,"日")+COUNTIF(C8:AG8,"遅")+COUNTIF(C8:AG8,"夜")+COUNTIF(C8:AG8,"明")+COUNTIF(C8:AG8,"P")</f>
        <v/>
      </c>
      <c r="AI8" s="10">
        <f>COUNTIF(C8:AG8,"夜")</f>
        <v/>
      </c>
      <c r="AJ8" s="10">
        <f>COUNTIF(C8:AG8,"休")</f>
        <v/>
      </c>
      <c r="AK8" s="10">
        <f>COUNTIF(C8:AG8,"有")</f>
        <v/>
      </c>
    </row>
    <row r="9">
      <c r="A9" s="2">
        <f>職員マスタ!A8</f>
        <v/>
      </c>
      <c r="B9" s="3">
        <f>職員マスタ!B8</f>
        <v/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10">
        <f>COUNTIF(C9:AG9,"早")+COUNTIF(C9:AG9,"日")+COUNTIF(C9:AG9,"遅")+COUNTIF(C9:AG9,"夜")+COUNTIF(C9:AG9,"明")+COUNTIF(C9:AG9,"P")</f>
        <v/>
      </c>
      <c r="AI9" s="10">
        <f>COUNTIF(C9:AG9,"夜")</f>
        <v/>
      </c>
      <c r="AJ9" s="10">
        <f>COUNTIF(C9:AG9,"休")</f>
        <v/>
      </c>
      <c r="AK9" s="10">
        <f>COUNTIF(C9:AG9,"有")</f>
        <v/>
      </c>
    </row>
    <row r="10">
      <c r="A10" s="2">
        <f>職員マスタ!A9</f>
        <v/>
      </c>
      <c r="B10" s="3">
        <f>職員マスタ!B9</f>
        <v/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10">
        <f>COUNTIF(C10:AG10,"早")+COUNTIF(C10:AG10,"日")+COUNTIF(C10:AG10,"遅")+COUNTIF(C10:AG10,"夜")+COUNTIF(C10:AG10,"明")+COUNTIF(C10:AG10,"P")</f>
        <v/>
      </c>
      <c r="AI10" s="10">
        <f>COUNTIF(C10:AG10,"夜")</f>
        <v/>
      </c>
      <c r="AJ10" s="10">
        <f>COUNTIF(C10:AG10,"休")</f>
        <v/>
      </c>
      <c r="AK10" s="10">
        <f>COUNTIF(C10:AG10,"有")</f>
        <v/>
      </c>
    </row>
    <row r="11">
      <c r="A11" s="2">
        <f>職員マスタ!A10</f>
        <v/>
      </c>
      <c r="B11" s="3">
        <f>職員マスタ!B10</f>
        <v/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10">
        <f>COUNTIF(C11:AG11,"早")+COUNTIF(C11:AG11,"日")+COUNTIF(C11:AG11,"遅")+COUNTIF(C11:AG11,"夜")+COUNTIF(C11:AG11,"明")+COUNTIF(C11:AG11,"P")</f>
        <v/>
      </c>
      <c r="AI11" s="10">
        <f>COUNTIF(C11:AG11,"夜")</f>
        <v/>
      </c>
      <c r="AJ11" s="10">
        <f>COUNTIF(C11:AG11,"休")</f>
        <v/>
      </c>
      <c r="AK11" s="10">
        <f>COUNTIF(C11:AG11,"有")</f>
        <v/>
      </c>
    </row>
    <row r="12">
      <c r="A12" s="2">
        <f>職員マスタ!A11</f>
        <v/>
      </c>
      <c r="B12" s="3">
        <f>職員マスタ!B11</f>
        <v/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10">
        <f>COUNTIF(C12:AG12,"早")+COUNTIF(C12:AG12,"日")+COUNTIF(C12:AG12,"遅")+COUNTIF(C12:AG12,"夜")+COUNTIF(C12:AG12,"明")+COUNTIF(C12:AG12,"P")</f>
        <v/>
      </c>
      <c r="AI12" s="10">
        <f>COUNTIF(C12:AG12,"夜")</f>
        <v/>
      </c>
      <c r="AJ12" s="10">
        <f>COUNTIF(C12:AG12,"休")</f>
        <v/>
      </c>
      <c r="AK12" s="10">
        <f>COUNTIF(C12:AG12,"有")</f>
        <v/>
      </c>
    </row>
    <row r="13">
      <c r="A13" s="2">
        <f>職員マスタ!A12</f>
        <v/>
      </c>
      <c r="B13" s="3">
        <f>職員マスタ!B12</f>
        <v/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10">
        <f>COUNTIF(C13:AG13,"早")+COUNTIF(C13:AG13,"日")+COUNTIF(C13:AG13,"遅")+COUNTIF(C13:AG13,"夜")+COUNTIF(C13:AG13,"明")+COUNTIF(C13:AG13,"P")</f>
        <v/>
      </c>
      <c r="AI13" s="10">
        <f>COUNTIF(C13:AG13,"夜")</f>
        <v/>
      </c>
      <c r="AJ13" s="10">
        <f>COUNTIF(C13:AG13,"休")</f>
        <v/>
      </c>
      <c r="AK13" s="10">
        <f>COUNTIF(C13:AG13,"有")</f>
        <v/>
      </c>
    </row>
    <row r="14">
      <c r="A14" s="2">
        <f>職員マスタ!A13</f>
        <v/>
      </c>
      <c r="B14" s="3">
        <f>職員マスタ!B13</f>
        <v/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10">
        <f>COUNTIF(C14:AG14,"早")+COUNTIF(C14:AG14,"日")+COUNTIF(C14:AG14,"遅")+COUNTIF(C14:AG14,"夜")+COUNTIF(C14:AG14,"明")+COUNTIF(C14:AG14,"P")</f>
        <v/>
      </c>
      <c r="AI14" s="10">
        <f>COUNTIF(C14:AG14,"夜")</f>
        <v/>
      </c>
      <c r="AJ14" s="10">
        <f>COUNTIF(C14:AG14,"休")</f>
        <v/>
      </c>
      <c r="AK14" s="10">
        <f>COUNTIF(C14:AG14,"有")</f>
        <v/>
      </c>
    </row>
    <row r="15">
      <c r="A15" s="2">
        <f>職員マスタ!A14</f>
        <v/>
      </c>
      <c r="B15" s="3">
        <f>職員マスタ!B14</f>
        <v/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10">
        <f>COUNTIF(C15:AG15,"早")+COUNTIF(C15:AG15,"日")+COUNTIF(C15:AG15,"遅")+COUNTIF(C15:AG15,"夜")+COUNTIF(C15:AG15,"明")+COUNTIF(C15:AG15,"P")</f>
        <v/>
      </c>
      <c r="AI15" s="10">
        <f>COUNTIF(C15:AG15,"夜")</f>
        <v/>
      </c>
      <c r="AJ15" s="10">
        <f>COUNTIF(C15:AG15,"休")</f>
        <v/>
      </c>
      <c r="AK15" s="10">
        <f>COUNTIF(C15:AG15,"有")</f>
        <v/>
      </c>
    </row>
    <row r="16">
      <c r="A16" s="2">
        <f>職員マスタ!A15</f>
        <v/>
      </c>
      <c r="B16" s="3">
        <f>職員マスタ!B15</f>
        <v/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10">
        <f>COUNTIF(C16:AG16,"早")+COUNTIF(C16:AG16,"日")+COUNTIF(C16:AG16,"遅")+COUNTIF(C16:AG16,"夜")+COUNTIF(C16:AG16,"明")+COUNTIF(C16:AG16,"P")</f>
        <v/>
      </c>
      <c r="AI16" s="10">
        <f>COUNTIF(C16:AG16,"夜")</f>
        <v/>
      </c>
      <c r="AJ16" s="10">
        <f>COUNTIF(C16:AG16,"休")</f>
        <v/>
      </c>
      <c r="AK16" s="10">
        <f>COUNTIF(C16:AG16,"有")</f>
        <v/>
      </c>
    </row>
    <row r="17">
      <c r="A17" s="2">
        <f>職員マスタ!A16</f>
        <v/>
      </c>
      <c r="B17" s="3">
        <f>職員マスタ!B16</f>
        <v/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10">
        <f>COUNTIF(C17:AG17,"早")+COUNTIF(C17:AG17,"日")+COUNTIF(C17:AG17,"遅")+COUNTIF(C17:AG17,"夜")+COUNTIF(C17:AG17,"明")+COUNTIF(C17:AG17,"P")</f>
        <v/>
      </c>
      <c r="AI17" s="10">
        <f>COUNTIF(C17:AG17,"夜")</f>
        <v/>
      </c>
      <c r="AJ17" s="10">
        <f>COUNTIF(C17:AG17,"休")</f>
        <v/>
      </c>
      <c r="AK17" s="10">
        <f>COUNTIF(C17:AG17,"有")</f>
        <v/>
      </c>
    </row>
    <row r="18">
      <c r="B18" s="11" t="inlineStr">
        <is>
          <t>夜勤人数</t>
        </is>
      </c>
      <c r="C18" s="2">
        <f>COUNTIF(C3:C17,"夜")</f>
        <v/>
      </c>
      <c r="D18" s="2">
        <f>COUNTIF(D3:D17,"夜")</f>
        <v/>
      </c>
      <c r="E18" s="2">
        <f>COUNTIF(E3:E17,"夜")</f>
        <v/>
      </c>
      <c r="F18" s="2">
        <f>COUNTIF(F3:F17,"夜")</f>
        <v/>
      </c>
      <c r="G18" s="2">
        <f>COUNTIF(G3:G17,"夜")</f>
        <v/>
      </c>
      <c r="H18" s="2">
        <f>COUNTIF(H3:H17,"夜")</f>
        <v/>
      </c>
      <c r="I18" s="2">
        <f>COUNTIF(I3:I17,"夜")</f>
        <v/>
      </c>
      <c r="J18" s="2">
        <f>COUNTIF(J3:J17,"夜")</f>
        <v/>
      </c>
      <c r="K18" s="2">
        <f>COUNTIF(K3:K17,"夜")</f>
        <v/>
      </c>
      <c r="L18" s="2">
        <f>COUNTIF(L3:L17,"夜")</f>
        <v/>
      </c>
      <c r="M18" s="2">
        <f>COUNTIF(M3:M17,"夜")</f>
        <v/>
      </c>
      <c r="N18" s="2">
        <f>COUNTIF(N3:N17,"夜")</f>
        <v/>
      </c>
      <c r="O18" s="2">
        <f>COUNTIF(O3:O17,"夜")</f>
        <v/>
      </c>
      <c r="P18" s="2">
        <f>COUNTIF(P3:P17,"夜")</f>
        <v/>
      </c>
      <c r="Q18" s="2">
        <f>COUNTIF(Q3:Q17,"夜")</f>
        <v/>
      </c>
      <c r="R18" s="2">
        <f>COUNTIF(R3:R17,"夜")</f>
        <v/>
      </c>
      <c r="S18" s="2">
        <f>COUNTIF(S3:S17,"夜")</f>
        <v/>
      </c>
      <c r="T18" s="2">
        <f>COUNTIF(T3:T17,"夜")</f>
        <v/>
      </c>
      <c r="U18" s="2">
        <f>COUNTIF(U3:U17,"夜")</f>
        <v/>
      </c>
      <c r="V18" s="2">
        <f>COUNTIF(V3:V17,"夜")</f>
        <v/>
      </c>
      <c r="W18" s="2">
        <f>COUNTIF(W3:W17,"夜")</f>
        <v/>
      </c>
      <c r="X18" s="2">
        <f>COUNTIF(X3:X17,"夜")</f>
        <v/>
      </c>
      <c r="Y18" s="2">
        <f>COUNTIF(Y3:Y17,"夜")</f>
        <v/>
      </c>
      <c r="Z18" s="2">
        <f>COUNTIF(Z3:Z17,"夜")</f>
        <v/>
      </c>
      <c r="AA18" s="2">
        <f>COUNTIF(AA3:AA17,"夜")</f>
        <v/>
      </c>
      <c r="AB18" s="2">
        <f>COUNTIF(AB3:AB17,"夜")</f>
        <v/>
      </c>
      <c r="AC18" s="2">
        <f>COUNTIF(AC3:AC17,"夜")</f>
        <v/>
      </c>
      <c r="AD18" s="2">
        <f>COUNTIF(AD3:AD17,"夜")</f>
        <v/>
      </c>
      <c r="AE18" s="2">
        <f>COUNTIF(AE3:AE17,"夜")</f>
        <v/>
      </c>
      <c r="AF18" s="2">
        <f>COUNTIF(AF3:AF17,"夜")</f>
        <v/>
      </c>
      <c r="AG18" s="2">
        <f>COUNTIF(AG3:AG17,"夜")</f>
        <v/>
      </c>
    </row>
    <row r="19">
      <c r="B19" s="11" t="inlineStr">
        <is>
          <t>早番人数</t>
        </is>
      </c>
      <c r="C19" s="2">
        <f>COUNTIF(C3:C17,"早")</f>
        <v/>
      </c>
      <c r="D19" s="2">
        <f>COUNTIF(D3:D17,"早")</f>
        <v/>
      </c>
      <c r="E19" s="2">
        <f>COUNTIF(E3:E17,"早")</f>
        <v/>
      </c>
      <c r="F19" s="2">
        <f>COUNTIF(F3:F17,"早")</f>
        <v/>
      </c>
      <c r="G19" s="2">
        <f>COUNTIF(G3:G17,"早")</f>
        <v/>
      </c>
      <c r="H19" s="2">
        <f>COUNTIF(H3:H17,"早")</f>
        <v/>
      </c>
      <c r="I19" s="2">
        <f>COUNTIF(I3:I17,"早")</f>
        <v/>
      </c>
      <c r="J19" s="2">
        <f>COUNTIF(J3:J17,"早")</f>
        <v/>
      </c>
      <c r="K19" s="2">
        <f>COUNTIF(K3:K17,"早")</f>
        <v/>
      </c>
      <c r="L19" s="2">
        <f>COUNTIF(L3:L17,"早")</f>
        <v/>
      </c>
      <c r="M19" s="2">
        <f>COUNTIF(M3:M17,"早")</f>
        <v/>
      </c>
      <c r="N19" s="2">
        <f>COUNTIF(N3:N17,"早")</f>
        <v/>
      </c>
      <c r="O19" s="2">
        <f>COUNTIF(O3:O17,"早")</f>
        <v/>
      </c>
      <c r="P19" s="2">
        <f>COUNTIF(P3:P17,"早")</f>
        <v/>
      </c>
      <c r="Q19" s="2">
        <f>COUNTIF(Q3:Q17,"早")</f>
        <v/>
      </c>
      <c r="R19" s="2">
        <f>COUNTIF(R3:R17,"早")</f>
        <v/>
      </c>
      <c r="S19" s="2">
        <f>COUNTIF(S3:S17,"早")</f>
        <v/>
      </c>
      <c r="T19" s="2">
        <f>COUNTIF(T3:T17,"早")</f>
        <v/>
      </c>
      <c r="U19" s="2">
        <f>COUNTIF(U3:U17,"早")</f>
        <v/>
      </c>
      <c r="V19" s="2">
        <f>COUNTIF(V3:V17,"早")</f>
        <v/>
      </c>
      <c r="W19" s="2">
        <f>COUNTIF(W3:W17,"早")</f>
        <v/>
      </c>
      <c r="X19" s="2">
        <f>COUNTIF(X3:X17,"早")</f>
        <v/>
      </c>
      <c r="Y19" s="2">
        <f>COUNTIF(Y3:Y17,"早")</f>
        <v/>
      </c>
      <c r="Z19" s="2">
        <f>COUNTIF(Z3:Z17,"早")</f>
        <v/>
      </c>
      <c r="AA19" s="2">
        <f>COUNTIF(AA3:AA17,"早")</f>
        <v/>
      </c>
      <c r="AB19" s="2">
        <f>COUNTIF(AB3:AB17,"早")</f>
        <v/>
      </c>
      <c r="AC19" s="2">
        <f>COUNTIF(AC3:AC17,"早")</f>
        <v/>
      </c>
      <c r="AD19" s="2">
        <f>COUNTIF(AD3:AD17,"早")</f>
        <v/>
      </c>
      <c r="AE19" s="2">
        <f>COUNTIF(AE3:AE17,"早")</f>
        <v/>
      </c>
      <c r="AF19" s="2">
        <f>COUNTIF(AF3:AF17,"早")</f>
        <v/>
      </c>
      <c r="AG19" s="2">
        <f>COUNTIF(AG3:AG17,"早")</f>
        <v/>
      </c>
    </row>
    <row r="20">
      <c r="B20" s="11" t="inlineStr">
        <is>
          <t>日勤人数</t>
        </is>
      </c>
      <c r="C20" s="2">
        <f>COUNTIF(C3:C17,"日")</f>
        <v/>
      </c>
      <c r="D20" s="2">
        <f>COUNTIF(D3:D17,"日")</f>
        <v/>
      </c>
      <c r="E20" s="2">
        <f>COUNTIF(E3:E17,"日")</f>
        <v/>
      </c>
      <c r="F20" s="2">
        <f>COUNTIF(F3:F17,"日")</f>
        <v/>
      </c>
      <c r="G20" s="2">
        <f>COUNTIF(G3:G17,"日")</f>
        <v/>
      </c>
      <c r="H20" s="2">
        <f>COUNTIF(H3:H17,"日")</f>
        <v/>
      </c>
      <c r="I20" s="2">
        <f>COUNTIF(I3:I17,"日")</f>
        <v/>
      </c>
      <c r="J20" s="2">
        <f>COUNTIF(J3:J17,"日")</f>
        <v/>
      </c>
      <c r="K20" s="2">
        <f>COUNTIF(K3:K17,"日")</f>
        <v/>
      </c>
      <c r="L20" s="2">
        <f>COUNTIF(L3:L17,"日")</f>
        <v/>
      </c>
      <c r="M20" s="2">
        <f>COUNTIF(M3:M17,"日")</f>
        <v/>
      </c>
      <c r="N20" s="2">
        <f>COUNTIF(N3:N17,"日")</f>
        <v/>
      </c>
      <c r="O20" s="2">
        <f>COUNTIF(O3:O17,"日")</f>
        <v/>
      </c>
      <c r="P20" s="2">
        <f>COUNTIF(P3:P17,"日")</f>
        <v/>
      </c>
      <c r="Q20" s="2">
        <f>COUNTIF(Q3:Q17,"日")</f>
        <v/>
      </c>
      <c r="R20" s="2">
        <f>COUNTIF(R3:R17,"日")</f>
        <v/>
      </c>
      <c r="S20" s="2">
        <f>COUNTIF(S3:S17,"日")</f>
        <v/>
      </c>
      <c r="T20" s="2">
        <f>COUNTIF(T3:T17,"日")</f>
        <v/>
      </c>
      <c r="U20" s="2">
        <f>COUNTIF(U3:U17,"日")</f>
        <v/>
      </c>
      <c r="V20" s="2">
        <f>COUNTIF(V3:V17,"日")</f>
        <v/>
      </c>
      <c r="W20" s="2">
        <f>COUNTIF(W3:W17,"日")</f>
        <v/>
      </c>
      <c r="X20" s="2">
        <f>COUNTIF(X3:X17,"日")</f>
        <v/>
      </c>
      <c r="Y20" s="2">
        <f>COUNTIF(Y3:Y17,"日")</f>
        <v/>
      </c>
      <c r="Z20" s="2">
        <f>COUNTIF(Z3:Z17,"日")</f>
        <v/>
      </c>
      <c r="AA20" s="2">
        <f>COUNTIF(AA3:AA17,"日")</f>
        <v/>
      </c>
      <c r="AB20" s="2">
        <f>COUNTIF(AB3:AB17,"日")</f>
        <v/>
      </c>
      <c r="AC20" s="2">
        <f>COUNTIF(AC3:AC17,"日")</f>
        <v/>
      </c>
      <c r="AD20" s="2">
        <f>COUNTIF(AD3:AD17,"日")</f>
        <v/>
      </c>
      <c r="AE20" s="2">
        <f>COUNTIF(AE3:AE17,"日")</f>
        <v/>
      </c>
      <c r="AF20" s="2">
        <f>COUNTIF(AF3:AF17,"日")</f>
        <v/>
      </c>
      <c r="AG20" s="2">
        <f>COUNTIF(AG3:AG17,"日")</f>
        <v/>
      </c>
    </row>
    <row r="21">
      <c r="B21" s="11" t="inlineStr">
        <is>
          <t>遅番人数</t>
        </is>
      </c>
      <c r="C21" s="2">
        <f>COUNTIF(C3:C17,"遅")</f>
        <v/>
      </c>
      <c r="D21" s="2">
        <f>COUNTIF(D3:D17,"遅")</f>
        <v/>
      </c>
      <c r="E21" s="2">
        <f>COUNTIF(E3:E17,"遅")</f>
        <v/>
      </c>
      <c r="F21" s="2">
        <f>COUNTIF(F3:F17,"遅")</f>
        <v/>
      </c>
      <c r="G21" s="2">
        <f>COUNTIF(G3:G17,"遅")</f>
        <v/>
      </c>
      <c r="H21" s="2">
        <f>COUNTIF(H3:H17,"遅")</f>
        <v/>
      </c>
      <c r="I21" s="2">
        <f>COUNTIF(I3:I17,"遅")</f>
        <v/>
      </c>
      <c r="J21" s="2">
        <f>COUNTIF(J3:J17,"遅")</f>
        <v/>
      </c>
      <c r="K21" s="2">
        <f>COUNTIF(K3:K17,"遅")</f>
        <v/>
      </c>
      <c r="L21" s="2">
        <f>COUNTIF(L3:L17,"遅")</f>
        <v/>
      </c>
      <c r="M21" s="2">
        <f>COUNTIF(M3:M17,"遅")</f>
        <v/>
      </c>
      <c r="N21" s="2">
        <f>COUNTIF(N3:N17,"遅")</f>
        <v/>
      </c>
      <c r="O21" s="2">
        <f>COUNTIF(O3:O17,"遅")</f>
        <v/>
      </c>
      <c r="P21" s="2">
        <f>COUNTIF(P3:P17,"遅")</f>
        <v/>
      </c>
      <c r="Q21" s="2">
        <f>COUNTIF(Q3:Q17,"遅")</f>
        <v/>
      </c>
      <c r="R21" s="2">
        <f>COUNTIF(R3:R17,"遅")</f>
        <v/>
      </c>
      <c r="S21" s="2">
        <f>COUNTIF(S3:S17,"遅")</f>
        <v/>
      </c>
      <c r="T21" s="2">
        <f>COUNTIF(T3:T17,"遅")</f>
        <v/>
      </c>
      <c r="U21" s="2">
        <f>COUNTIF(U3:U17,"遅")</f>
        <v/>
      </c>
      <c r="V21" s="2">
        <f>COUNTIF(V3:V17,"遅")</f>
        <v/>
      </c>
      <c r="W21" s="2">
        <f>COUNTIF(W3:W17,"遅")</f>
        <v/>
      </c>
      <c r="X21" s="2">
        <f>COUNTIF(X3:X17,"遅")</f>
        <v/>
      </c>
      <c r="Y21" s="2">
        <f>COUNTIF(Y3:Y17,"遅")</f>
        <v/>
      </c>
      <c r="Z21" s="2">
        <f>COUNTIF(Z3:Z17,"遅")</f>
        <v/>
      </c>
      <c r="AA21" s="2">
        <f>COUNTIF(AA3:AA17,"遅")</f>
        <v/>
      </c>
      <c r="AB21" s="2">
        <f>COUNTIF(AB3:AB17,"遅")</f>
        <v/>
      </c>
      <c r="AC21" s="2">
        <f>COUNTIF(AC3:AC17,"遅")</f>
        <v/>
      </c>
      <c r="AD21" s="2">
        <f>COUNTIF(AD3:AD17,"遅")</f>
        <v/>
      </c>
      <c r="AE21" s="2">
        <f>COUNTIF(AE3:AE17,"遅")</f>
        <v/>
      </c>
      <c r="AF21" s="2">
        <f>COUNTIF(AF3:AF17,"遅")</f>
        <v/>
      </c>
      <c r="AG21" s="2">
        <f>COUNTIF(AG3:AG17,"遅")</f>
        <v/>
      </c>
    </row>
    <row r="22">
      <c r="B22" s="11" t="inlineStr">
        <is>
          <t>出勤合計</t>
        </is>
      </c>
      <c r="C22" s="10">
        <f>COUNTIF(C3:C17,"早")+COUNTIF(C3:C17,"日")+COUNTIF(C3:C17,"遅")+COUNTIF(C3:C17,"夜")+COUNTIF(C3:C17,"明")+COUNTIF(C3:C17,"P")</f>
        <v/>
      </c>
      <c r="D22" s="10">
        <f>COUNTIF(D3:D17,"早")+COUNTIF(D3:D17,"日")+COUNTIF(D3:D17,"遅")+COUNTIF(D3:D17,"夜")+COUNTIF(D3:D17,"明")+COUNTIF(D3:D17,"P")</f>
        <v/>
      </c>
      <c r="E22" s="10">
        <f>COUNTIF(E3:E17,"早")+COUNTIF(E3:E17,"日")+COUNTIF(E3:E17,"遅")+COUNTIF(E3:E17,"夜")+COUNTIF(E3:E17,"明")+COUNTIF(E3:E17,"P")</f>
        <v/>
      </c>
      <c r="F22" s="10">
        <f>COUNTIF(F3:F17,"早")+COUNTIF(F3:F17,"日")+COUNTIF(F3:F17,"遅")+COUNTIF(F3:F17,"夜")+COUNTIF(F3:F17,"明")+COUNTIF(F3:F17,"P")</f>
        <v/>
      </c>
      <c r="G22" s="10">
        <f>COUNTIF(G3:G17,"早")+COUNTIF(G3:G17,"日")+COUNTIF(G3:G17,"遅")+COUNTIF(G3:G17,"夜")+COUNTIF(G3:G17,"明")+COUNTIF(G3:G17,"P")</f>
        <v/>
      </c>
      <c r="H22" s="10">
        <f>COUNTIF(H3:H17,"早")+COUNTIF(H3:H17,"日")+COUNTIF(H3:H17,"遅")+COUNTIF(H3:H17,"夜")+COUNTIF(H3:H17,"明")+COUNTIF(H3:H17,"P")</f>
        <v/>
      </c>
      <c r="I22" s="10">
        <f>COUNTIF(I3:I17,"早")+COUNTIF(I3:I17,"日")+COUNTIF(I3:I17,"遅")+COUNTIF(I3:I17,"夜")+COUNTIF(I3:I17,"明")+COUNTIF(I3:I17,"P")</f>
        <v/>
      </c>
      <c r="J22" s="10">
        <f>COUNTIF(J3:J17,"早")+COUNTIF(J3:J17,"日")+COUNTIF(J3:J17,"遅")+COUNTIF(J3:J17,"夜")+COUNTIF(J3:J17,"明")+COUNTIF(J3:J17,"P")</f>
        <v/>
      </c>
      <c r="K22" s="10">
        <f>COUNTIF(K3:K17,"早")+COUNTIF(K3:K17,"日")+COUNTIF(K3:K17,"遅")+COUNTIF(K3:K17,"夜")+COUNTIF(K3:K17,"明")+COUNTIF(K3:K17,"P")</f>
        <v/>
      </c>
      <c r="L22" s="10">
        <f>COUNTIF(L3:L17,"早")+COUNTIF(L3:L17,"日")+COUNTIF(L3:L17,"遅")+COUNTIF(L3:L17,"夜")+COUNTIF(L3:L17,"明")+COUNTIF(L3:L17,"P")</f>
        <v/>
      </c>
      <c r="M22" s="10">
        <f>COUNTIF(M3:M17,"早")+COUNTIF(M3:M17,"日")+COUNTIF(M3:M17,"遅")+COUNTIF(M3:M17,"夜")+COUNTIF(M3:M17,"明")+COUNTIF(M3:M17,"P")</f>
        <v/>
      </c>
      <c r="N22" s="10">
        <f>COUNTIF(N3:N17,"早")+COUNTIF(N3:N17,"日")+COUNTIF(N3:N17,"遅")+COUNTIF(N3:N17,"夜")+COUNTIF(N3:N17,"明")+COUNTIF(N3:N17,"P")</f>
        <v/>
      </c>
      <c r="O22" s="10">
        <f>COUNTIF(O3:O17,"早")+COUNTIF(O3:O17,"日")+COUNTIF(O3:O17,"遅")+COUNTIF(O3:O17,"夜")+COUNTIF(O3:O17,"明")+COUNTIF(O3:O17,"P")</f>
        <v/>
      </c>
      <c r="P22" s="10">
        <f>COUNTIF(P3:P17,"早")+COUNTIF(P3:P17,"日")+COUNTIF(P3:P17,"遅")+COUNTIF(P3:P17,"夜")+COUNTIF(P3:P17,"明")+COUNTIF(P3:P17,"P")</f>
        <v/>
      </c>
      <c r="Q22" s="10">
        <f>COUNTIF(Q3:Q17,"早")+COUNTIF(Q3:Q17,"日")+COUNTIF(Q3:Q17,"遅")+COUNTIF(Q3:Q17,"夜")+COUNTIF(Q3:Q17,"明")+COUNTIF(Q3:Q17,"P")</f>
        <v/>
      </c>
      <c r="R22" s="10">
        <f>COUNTIF(R3:R17,"早")+COUNTIF(R3:R17,"日")+COUNTIF(R3:R17,"遅")+COUNTIF(R3:R17,"夜")+COUNTIF(R3:R17,"明")+COUNTIF(R3:R17,"P")</f>
        <v/>
      </c>
      <c r="S22" s="10">
        <f>COUNTIF(S3:S17,"早")+COUNTIF(S3:S17,"日")+COUNTIF(S3:S17,"遅")+COUNTIF(S3:S17,"夜")+COUNTIF(S3:S17,"明")+COUNTIF(S3:S17,"P")</f>
        <v/>
      </c>
      <c r="T22" s="10">
        <f>COUNTIF(T3:T17,"早")+COUNTIF(T3:T17,"日")+COUNTIF(T3:T17,"遅")+COUNTIF(T3:T17,"夜")+COUNTIF(T3:T17,"明")+COUNTIF(T3:T17,"P")</f>
        <v/>
      </c>
      <c r="U22" s="10">
        <f>COUNTIF(U3:U17,"早")+COUNTIF(U3:U17,"日")+COUNTIF(U3:U17,"遅")+COUNTIF(U3:U17,"夜")+COUNTIF(U3:U17,"明")+COUNTIF(U3:U17,"P")</f>
        <v/>
      </c>
      <c r="V22" s="10">
        <f>COUNTIF(V3:V17,"早")+COUNTIF(V3:V17,"日")+COUNTIF(V3:V17,"遅")+COUNTIF(V3:V17,"夜")+COUNTIF(V3:V17,"明")+COUNTIF(V3:V17,"P")</f>
        <v/>
      </c>
      <c r="W22" s="10">
        <f>COUNTIF(W3:W17,"早")+COUNTIF(W3:W17,"日")+COUNTIF(W3:W17,"遅")+COUNTIF(W3:W17,"夜")+COUNTIF(W3:W17,"明")+COUNTIF(W3:W17,"P")</f>
        <v/>
      </c>
      <c r="X22" s="10">
        <f>COUNTIF(X3:X17,"早")+COUNTIF(X3:X17,"日")+COUNTIF(X3:X17,"遅")+COUNTIF(X3:X17,"夜")+COUNTIF(X3:X17,"明")+COUNTIF(X3:X17,"P")</f>
        <v/>
      </c>
      <c r="Y22" s="10">
        <f>COUNTIF(Y3:Y17,"早")+COUNTIF(Y3:Y17,"日")+COUNTIF(Y3:Y17,"遅")+COUNTIF(Y3:Y17,"夜")+COUNTIF(Y3:Y17,"明")+COUNTIF(Y3:Y17,"P")</f>
        <v/>
      </c>
      <c r="Z22" s="10">
        <f>COUNTIF(Z3:Z17,"早")+COUNTIF(Z3:Z17,"日")+COUNTIF(Z3:Z17,"遅")+COUNTIF(Z3:Z17,"夜")+COUNTIF(Z3:Z17,"明")+COUNTIF(Z3:Z17,"P")</f>
        <v/>
      </c>
      <c r="AA22" s="10">
        <f>COUNTIF(AA3:AA17,"早")+COUNTIF(AA3:AA17,"日")+COUNTIF(AA3:AA17,"遅")+COUNTIF(AA3:AA17,"夜")+COUNTIF(AA3:AA17,"明")+COUNTIF(AA3:AA17,"P")</f>
        <v/>
      </c>
      <c r="AB22" s="10">
        <f>COUNTIF(AB3:AB17,"早")+COUNTIF(AB3:AB17,"日")+COUNTIF(AB3:AB17,"遅")+COUNTIF(AB3:AB17,"夜")+COUNTIF(AB3:AB17,"明")+COUNTIF(AB3:AB17,"P")</f>
        <v/>
      </c>
      <c r="AC22" s="10">
        <f>COUNTIF(AC3:AC17,"早")+COUNTIF(AC3:AC17,"日")+COUNTIF(AC3:AC17,"遅")+COUNTIF(AC3:AC17,"夜")+COUNTIF(AC3:AC17,"明")+COUNTIF(AC3:AC17,"P")</f>
        <v/>
      </c>
      <c r="AD22" s="10">
        <f>COUNTIF(AD3:AD17,"早")+COUNTIF(AD3:AD17,"日")+COUNTIF(AD3:AD17,"遅")+COUNTIF(AD3:AD17,"夜")+COUNTIF(AD3:AD17,"明")+COUNTIF(AD3:AD17,"P")</f>
        <v/>
      </c>
      <c r="AE22" s="10">
        <f>COUNTIF(AE3:AE17,"早")+COUNTIF(AE3:AE17,"日")+COUNTIF(AE3:AE17,"遅")+COUNTIF(AE3:AE17,"夜")+COUNTIF(AE3:AE17,"明")+COUNTIF(AE3:AE17,"P")</f>
        <v/>
      </c>
      <c r="AF22" s="10">
        <f>COUNTIF(AF3:AF17,"早")+COUNTIF(AF3:AF17,"日")+COUNTIF(AF3:AF17,"遅")+COUNTIF(AF3:AF17,"夜")+COUNTIF(AF3:AF17,"明")+COUNTIF(AF3:AF17,"P")</f>
        <v/>
      </c>
      <c r="AG22" s="10">
        <f>COUNTIF(AG3:AG17,"早")+COUNTIF(AG3:AG17,"日")+COUNTIF(AG3:AG17,"遅")+COUNTIF(AG3:AG17,"夜")+COUNTIF(AG3:AG17,"明")+COUNTIF(AG3:AG17,"P")</f>
        <v/>
      </c>
    </row>
    <row r="23">
      <c r="B23" s="12" t="inlineStr">
        <is>
          <t>夜勤確認</t>
        </is>
      </c>
      <c r="C23" s="13">
        <f>IF(C18&lt;2,"不足","")</f>
        <v/>
      </c>
      <c r="D23" s="13">
        <f>IF(D18&lt;2,"不足","")</f>
        <v/>
      </c>
      <c r="E23" s="13">
        <f>IF(E18&lt;2,"不足","")</f>
        <v/>
      </c>
      <c r="F23" s="13">
        <f>IF(F18&lt;2,"不足","")</f>
        <v/>
      </c>
      <c r="G23" s="13">
        <f>IF(G18&lt;2,"不足","")</f>
        <v/>
      </c>
      <c r="H23" s="13">
        <f>IF(H18&lt;2,"不足","")</f>
        <v/>
      </c>
      <c r="I23" s="13">
        <f>IF(I18&lt;2,"不足","")</f>
        <v/>
      </c>
      <c r="J23" s="13">
        <f>IF(J18&lt;2,"不足","")</f>
        <v/>
      </c>
      <c r="K23" s="13">
        <f>IF(K18&lt;2,"不足","")</f>
        <v/>
      </c>
      <c r="L23" s="13">
        <f>IF(L18&lt;2,"不足","")</f>
        <v/>
      </c>
      <c r="M23" s="13">
        <f>IF(M18&lt;2,"不足","")</f>
        <v/>
      </c>
      <c r="N23" s="13">
        <f>IF(N18&lt;2,"不足","")</f>
        <v/>
      </c>
      <c r="O23" s="13">
        <f>IF(O18&lt;2,"不足","")</f>
        <v/>
      </c>
      <c r="P23" s="13">
        <f>IF(P18&lt;2,"不足","")</f>
        <v/>
      </c>
      <c r="Q23" s="13">
        <f>IF(Q18&lt;2,"不足","")</f>
        <v/>
      </c>
      <c r="R23" s="13">
        <f>IF(R18&lt;2,"不足","")</f>
        <v/>
      </c>
      <c r="S23" s="13">
        <f>IF(S18&lt;2,"不足","")</f>
        <v/>
      </c>
      <c r="T23" s="13">
        <f>IF(T18&lt;2,"不足","")</f>
        <v/>
      </c>
      <c r="U23" s="13">
        <f>IF(U18&lt;2,"不足","")</f>
        <v/>
      </c>
      <c r="V23" s="13">
        <f>IF(V18&lt;2,"不足","")</f>
        <v/>
      </c>
      <c r="W23" s="13">
        <f>IF(W18&lt;2,"不足","")</f>
        <v/>
      </c>
      <c r="X23" s="13">
        <f>IF(X18&lt;2,"不足","")</f>
        <v/>
      </c>
      <c r="Y23" s="13">
        <f>IF(Y18&lt;2,"不足","")</f>
        <v/>
      </c>
      <c r="Z23" s="13">
        <f>IF(Z18&lt;2,"不足","")</f>
        <v/>
      </c>
      <c r="AA23" s="13">
        <f>IF(AA18&lt;2,"不足","")</f>
        <v/>
      </c>
      <c r="AB23" s="13">
        <f>IF(AB18&lt;2,"不足","")</f>
        <v/>
      </c>
      <c r="AC23" s="13">
        <f>IF(AC18&lt;2,"不足","")</f>
        <v/>
      </c>
      <c r="AD23" s="13">
        <f>IF(AD18&lt;2,"不足","")</f>
        <v/>
      </c>
      <c r="AE23" s="13">
        <f>IF(AE18&lt;2,"不足","")</f>
        <v/>
      </c>
      <c r="AF23" s="13">
        <f>IF(AF18&lt;2,"不足","")</f>
        <v/>
      </c>
      <c r="AG23" s="13">
        <f>IF(AG18&lt;2,"不足","")</f>
        <v/>
      </c>
    </row>
  </sheetData>
  <conditionalFormatting sqref="C3:AG17">
    <cfRule type="cellIs" priority="1" operator="equal" dxfId="0">
      <formula>"早"</formula>
    </cfRule>
    <cfRule type="cellIs" priority="2" operator="equal" dxfId="1">
      <formula>"日"</formula>
    </cfRule>
    <cfRule type="cellIs" priority="3" operator="equal" dxfId="2">
      <formula>"遅"</formula>
    </cfRule>
    <cfRule type="cellIs" priority="4" operator="equal" dxfId="3">
      <formula>"夜"</formula>
    </cfRule>
    <cfRule type="cellIs" priority="5" operator="equal" dxfId="4">
      <formula>"明"</formula>
    </cfRule>
    <cfRule type="cellIs" priority="6" operator="equal" dxfId="5">
      <formula>"休"</formula>
    </cfRule>
    <cfRule type="cellIs" priority="7" operator="equal" dxfId="6">
      <formula>"有"</formula>
    </cfRule>
    <cfRule type="cellIs" priority="8" operator="equal" dxfId="7">
      <formula>"P"</formula>
    </cfRule>
  </conditionalFormatting>
  <conditionalFormatting sqref="C23:AG23">
    <cfRule type="cellIs" priority="9" operator="equal" dxfId="8">
      <formula>"不足"</formula>
    </cfRule>
  </conditionalFormatting>
  <dataValidations count="1">
    <dataValidation sqref="C3:AG17" showDropDown="0" showInputMessage="0" showErrorMessage="0" allowBlank="1" type="list">
      <formula1>"早,日,遅,夜,明,休,有,P"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7" t="inlineStr">
        <is>
          <t>対象年月</t>
        </is>
      </c>
      <c r="B1" s="8">
        <f>シフト表!B1</f>
        <v/>
      </c>
    </row>
    <row r="2" ht="26" customHeight="1">
      <c r="A2" s="1" t="inlineStr">
        <is>
          <t>No.</t>
        </is>
      </c>
      <c r="B2" s="1" t="inlineStr">
        <is>
          <t>職員名</t>
        </is>
      </c>
      <c r="C2" s="1" t="inlineStr">
        <is>
          <t>出勤日数</t>
        </is>
      </c>
      <c r="D2" s="1" t="inlineStr">
        <is>
          <t>夜勤回数</t>
        </is>
      </c>
      <c r="E2" s="1" t="inlineStr">
        <is>
          <t>早番</t>
        </is>
      </c>
      <c r="F2" s="1" t="inlineStr">
        <is>
          <t>日勤</t>
        </is>
      </c>
      <c r="G2" s="1" t="inlineStr">
        <is>
          <t>遅番</t>
        </is>
      </c>
      <c r="H2" s="1" t="inlineStr">
        <is>
          <t>公休</t>
        </is>
      </c>
      <c r="I2" s="1" t="inlineStr">
        <is>
          <t>有給</t>
        </is>
      </c>
    </row>
    <row r="3">
      <c r="A3" s="2">
        <f>職員マスタ!A2</f>
        <v/>
      </c>
      <c r="B3" s="3">
        <f>職員マスタ!B2</f>
        <v/>
      </c>
      <c r="C3" s="2">
        <f>COUNTIF(シフト表!C3:AG3,"早")+COUNTIF(シフト表!C3:AG3,"日")+COUNTIF(シフト表!C3:AG3,"遅")+COUNTIF(シフト表!C3:AG3,"夜")+COUNTIF(シフト表!C3:AG3,"明")+COUNTIF(シフト表!C3:AG3,"P")</f>
        <v/>
      </c>
      <c r="D3" s="2">
        <f>COUNTIF(シフト表!C3:AG3,"夜")</f>
        <v/>
      </c>
      <c r="E3" s="2">
        <f>COUNTIF(シフト表!C3:AG3,"早")</f>
        <v/>
      </c>
      <c r="F3" s="2">
        <f>COUNTIF(シフト表!C3:AG3,"日")</f>
        <v/>
      </c>
      <c r="G3" s="2">
        <f>COUNTIF(シフト表!C3:AG3,"遅")</f>
        <v/>
      </c>
      <c r="H3" s="2">
        <f>COUNTIF(シフト表!C3:AG3,"休")</f>
        <v/>
      </c>
      <c r="I3" s="2">
        <f>COUNTIF(シフト表!C3:AG3,"有")</f>
        <v/>
      </c>
    </row>
    <row r="4">
      <c r="A4" s="4">
        <f>職員マスタ!A3</f>
        <v/>
      </c>
      <c r="B4" s="5">
        <f>職員マスタ!B3</f>
        <v/>
      </c>
      <c r="C4" s="4">
        <f>COUNTIF(シフト表!C4:AG4,"早")+COUNTIF(シフト表!C4:AG4,"日")+COUNTIF(シフト表!C4:AG4,"遅")+COUNTIF(シフト表!C4:AG4,"夜")+COUNTIF(シフト表!C4:AG4,"明")+COUNTIF(シフト表!C4:AG4,"P")</f>
        <v/>
      </c>
      <c r="D4" s="4">
        <f>COUNTIF(シフト表!C4:AG4,"夜")</f>
        <v/>
      </c>
      <c r="E4" s="4">
        <f>COUNTIF(シフト表!C4:AG4,"早")</f>
        <v/>
      </c>
      <c r="F4" s="4">
        <f>COUNTIF(シフト表!C4:AG4,"日")</f>
        <v/>
      </c>
      <c r="G4" s="4">
        <f>COUNTIF(シフト表!C4:AG4,"遅")</f>
        <v/>
      </c>
      <c r="H4" s="4">
        <f>COUNTIF(シフト表!C4:AG4,"休")</f>
        <v/>
      </c>
      <c r="I4" s="4">
        <f>COUNTIF(シフト表!C4:AG4,"有")</f>
        <v/>
      </c>
    </row>
    <row r="5">
      <c r="A5" s="2">
        <f>職員マスタ!A4</f>
        <v/>
      </c>
      <c r="B5" s="3">
        <f>職員マスタ!B4</f>
        <v/>
      </c>
      <c r="C5" s="2">
        <f>COUNTIF(シフト表!C5:AG5,"早")+COUNTIF(シフト表!C5:AG5,"日")+COUNTIF(シフト表!C5:AG5,"遅")+COUNTIF(シフト表!C5:AG5,"夜")+COUNTIF(シフト表!C5:AG5,"明")+COUNTIF(シフト表!C5:AG5,"P")</f>
        <v/>
      </c>
      <c r="D5" s="2">
        <f>COUNTIF(シフト表!C5:AG5,"夜")</f>
        <v/>
      </c>
      <c r="E5" s="2">
        <f>COUNTIF(シフト表!C5:AG5,"早")</f>
        <v/>
      </c>
      <c r="F5" s="2">
        <f>COUNTIF(シフト表!C5:AG5,"日")</f>
        <v/>
      </c>
      <c r="G5" s="2">
        <f>COUNTIF(シフト表!C5:AG5,"遅")</f>
        <v/>
      </c>
      <c r="H5" s="2">
        <f>COUNTIF(シフト表!C5:AG5,"休")</f>
        <v/>
      </c>
      <c r="I5" s="2">
        <f>COUNTIF(シフト表!C5:AG5,"有")</f>
        <v/>
      </c>
    </row>
    <row r="6">
      <c r="A6" s="4">
        <f>職員マスタ!A5</f>
        <v/>
      </c>
      <c r="B6" s="5">
        <f>職員マスタ!B5</f>
        <v/>
      </c>
      <c r="C6" s="4">
        <f>COUNTIF(シフト表!C6:AG6,"早")+COUNTIF(シフト表!C6:AG6,"日")+COUNTIF(シフト表!C6:AG6,"遅")+COUNTIF(シフト表!C6:AG6,"夜")+COUNTIF(シフト表!C6:AG6,"明")+COUNTIF(シフト表!C6:AG6,"P")</f>
        <v/>
      </c>
      <c r="D6" s="4">
        <f>COUNTIF(シフト表!C6:AG6,"夜")</f>
        <v/>
      </c>
      <c r="E6" s="4">
        <f>COUNTIF(シフト表!C6:AG6,"早")</f>
        <v/>
      </c>
      <c r="F6" s="4">
        <f>COUNTIF(シフト表!C6:AG6,"日")</f>
        <v/>
      </c>
      <c r="G6" s="4">
        <f>COUNTIF(シフト表!C6:AG6,"遅")</f>
        <v/>
      </c>
      <c r="H6" s="4">
        <f>COUNTIF(シフト表!C6:AG6,"休")</f>
        <v/>
      </c>
      <c r="I6" s="4">
        <f>COUNTIF(シフト表!C6:AG6,"有")</f>
        <v/>
      </c>
    </row>
    <row r="7">
      <c r="A7" s="2">
        <f>職員マスタ!A6</f>
        <v/>
      </c>
      <c r="B7" s="3">
        <f>職員マスタ!B6</f>
        <v/>
      </c>
      <c r="C7" s="2">
        <f>COUNTIF(シフト表!C7:AG7,"早")+COUNTIF(シフト表!C7:AG7,"日")+COUNTIF(シフト表!C7:AG7,"遅")+COUNTIF(シフト表!C7:AG7,"夜")+COUNTIF(シフト表!C7:AG7,"明")+COUNTIF(シフト表!C7:AG7,"P")</f>
        <v/>
      </c>
      <c r="D7" s="2">
        <f>COUNTIF(シフト表!C7:AG7,"夜")</f>
        <v/>
      </c>
      <c r="E7" s="2">
        <f>COUNTIF(シフト表!C7:AG7,"早")</f>
        <v/>
      </c>
      <c r="F7" s="2">
        <f>COUNTIF(シフト表!C7:AG7,"日")</f>
        <v/>
      </c>
      <c r="G7" s="2">
        <f>COUNTIF(シフト表!C7:AG7,"遅")</f>
        <v/>
      </c>
      <c r="H7" s="2">
        <f>COUNTIF(シフト表!C7:AG7,"休")</f>
        <v/>
      </c>
      <c r="I7" s="2">
        <f>COUNTIF(シフト表!C7:AG7,"有")</f>
        <v/>
      </c>
    </row>
    <row r="8">
      <c r="A8" s="4">
        <f>職員マスタ!A7</f>
        <v/>
      </c>
      <c r="B8" s="5">
        <f>職員マスタ!B7</f>
        <v/>
      </c>
      <c r="C8" s="4">
        <f>COUNTIF(シフト表!C8:AG8,"早")+COUNTIF(シフト表!C8:AG8,"日")+COUNTIF(シフト表!C8:AG8,"遅")+COUNTIF(シフト表!C8:AG8,"夜")+COUNTIF(シフト表!C8:AG8,"明")+COUNTIF(シフト表!C8:AG8,"P")</f>
        <v/>
      </c>
      <c r="D8" s="4">
        <f>COUNTIF(シフト表!C8:AG8,"夜")</f>
        <v/>
      </c>
      <c r="E8" s="4">
        <f>COUNTIF(シフト表!C8:AG8,"早")</f>
        <v/>
      </c>
      <c r="F8" s="4">
        <f>COUNTIF(シフト表!C8:AG8,"日")</f>
        <v/>
      </c>
      <c r="G8" s="4">
        <f>COUNTIF(シフト表!C8:AG8,"遅")</f>
        <v/>
      </c>
      <c r="H8" s="4">
        <f>COUNTIF(シフト表!C8:AG8,"休")</f>
        <v/>
      </c>
      <c r="I8" s="4">
        <f>COUNTIF(シフト表!C8:AG8,"有")</f>
        <v/>
      </c>
    </row>
    <row r="9">
      <c r="A9" s="2">
        <f>職員マスタ!A8</f>
        <v/>
      </c>
      <c r="B9" s="3">
        <f>職員マスタ!B8</f>
        <v/>
      </c>
      <c r="C9" s="2">
        <f>COUNTIF(シフト表!C9:AG9,"早")+COUNTIF(シフト表!C9:AG9,"日")+COUNTIF(シフト表!C9:AG9,"遅")+COUNTIF(シフト表!C9:AG9,"夜")+COUNTIF(シフト表!C9:AG9,"明")+COUNTIF(シフト表!C9:AG9,"P")</f>
        <v/>
      </c>
      <c r="D9" s="2">
        <f>COUNTIF(シフト表!C9:AG9,"夜")</f>
        <v/>
      </c>
      <c r="E9" s="2">
        <f>COUNTIF(シフト表!C9:AG9,"早")</f>
        <v/>
      </c>
      <c r="F9" s="2">
        <f>COUNTIF(シフト表!C9:AG9,"日")</f>
        <v/>
      </c>
      <c r="G9" s="2">
        <f>COUNTIF(シフト表!C9:AG9,"遅")</f>
        <v/>
      </c>
      <c r="H9" s="2">
        <f>COUNTIF(シフト表!C9:AG9,"休")</f>
        <v/>
      </c>
      <c r="I9" s="2">
        <f>COUNTIF(シフト表!C9:AG9,"有")</f>
        <v/>
      </c>
    </row>
    <row r="10">
      <c r="A10" s="4">
        <f>職員マスタ!A9</f>
        <v/>
      </c>
      <c r="B10" s="5">
        <f>職員マスタ!B9</f>
        <v/>
      </c>
      <c r="C10" s="4">
        <f>COUNTIF(シフト表!C10:AG10,"早")+COUNTIF(シフト表!C10:AG10,"日")+COUNTIF(シフト表!C10:AG10,"遅")+COUNTIF(シフト表!C10:AG10,"夜")+COUNTIF(シフト表!C10:AG10,"明")+COUNTIF(シフト表!C10:AG10,"P")</f>
        <v/>
      </c>
      <c r="D10" s="4">
        <f>COUNTIF(シフト表!C10:AG10,"夜")</f>
        <v/>
      </c>
      <c r="E10" s="4">
        <f>COUNTIF(シフト表!C10:AG10,"早")</f>
        <v/>
      </c>
      <c r="F10" s="4">
        <f>COUNTIF(シフト表!C10:AG10,"日")</f>
        <v/>
      </c>
      <c r="G10" s="4">
        <f>COUNTIF(シフト表!C10:AG10,"遅")</f>
        <v/>
      </c>
      <c r="H10" s="4">
        <f>COUNTIF(シフト表!C10:AG10,"休")</f>
        <v/>
      </c>
      <c r="I10" s="4">
        <f>COUNTIF(シフト表!C10:AG10,"有")</f>
        <v/>
      </c>
    </row>
    <row r="11">
      <c r="A11" s="2">
        <f>職員マスタ!A10</f>
        <v/>
      </c>
      <c r="B11" s="3">
        <f>職員マスタ!B10</f>
        <v/>
      </c>
      <c r="C11" s="2">
        <f>COUNTIF(シフト表!C11:AG11,"早")+COUNTIF(シフト表!C11:AG11,"日")+COUNTIF(シフト表!C11:AG11,"遅")+COUNTIF(シフト表!C11:AG11,"夜")+COUNTIF(シフト表!C11:AG11,"明")+COUNTIF(シフト表!C11:AG11,"P")</f>
        <v/>
      </c>
      <c r="D11" s="2">
        <f>COUNTIF(シフト表!C11:AG11,"夜")</f>
        <v/>
      </c>
      <c r="E11" s="2">
        <f>COUNTIF(シフト表!C11:AG11,"早")</f>
        <v/>
      </c>
      <c r="F11" s="2">
        <f>COUNTIF(シフト表!C11:AG11,"日")</f>
        <v/>
      </c>
      <c r="G11" s="2">
        <f>COUNTIF(シフト表!C11:AG11,"遅")</f>
        <v/>
      </c>
      <c r="H11" s="2">
        <f>COUNTIF(シフト表!C11:AG11,"休")</f>
        <v/>
      </c>
      <c r="I11" s="2">
        <f>COUNTIF(シフト表!C11:AG11,"有")</f>
        <v/>
      </c>
    </row>
    <row r="12">
      <c r="A12" s="4">
        <f>職員マスタ!A11</f>
        <v/>
      </c>
      <c r="B12" s="5">
        <f>職員マスタ!B11</f>
        <v/>
      </c>
      <c r="C12" s="4">
        <f>COUNTIF(シフト表!C12:AG12,"早")+COUNTIF(シフト表!C12:AG12,"日")+COUNTIF(シフト表!C12:AG12,"遅")+COUNTIF(シフト表!C12:AG12,"夜")+COUNTIF(シフト表!C12:AG12,"明")+COUNTIF(シフト表!C12:AG12,"P")</f>
        <v/>
      </c>
      <c r="D12" s="4">
        <f>COUNTIF(シフト表!C12:AG12,"夜")</f>
        <v/>
      </c>
      <c r="E12" s="4">
        <f>COUNTIF(シフト表!C12:AG12,"早")</f>
        <v/>
      </c>
      <c r="F12" s="4">
        <f>COUNTIF(シフト表!C12:AG12,"日")</f>
        <v/>
      </c>
      <c r="G12" s="4">
        <f>COUNTIF(シフト表!C12:AG12,"遅")</f>
        <v/>
      </c>
      <c r="H12" s="4">
        <f>COUNTIF(シフト表!C12:AG12,"休")</f>
        <v/>
      </c>
      <c r="I12" s="4">
        <f>COUNTIF(シフト表!C12:AG12,"有")</f>
        <v/>
      </c>
    </row>
    <row r="13">
      <c r="A13" s="2">
        <f>職員マスタ!A12</f>
        <v/>
      </c>
      <c r="B13" s="3">
        <f>職員マスタ!B12</f>
        <v/>
      </c>
      <c r="C13" s="2">
        <f>COUNTIF(シフト表!C13:AG13,"早")+COUNTIF(シフト表!C13:AG13,"日")+COUNTIF(シフト表!C13:AG13,"遅")+COUNTIF(シフト表!C13:AG13,"夜")+COUNTIF(シフト表!C13:AG13,"明")+COUNTIF(シフト表!C13:AG13,"P")</f>
        <v/>
      </c>
      <c r="D13" s="2">
        <f>COUNTIF(シフト表!C13:AG13,"夜")</f>
        <v/>
      </c>
      <c r="E13" s="2">
        <f>COUNTIF(シフト表!C13:AG13,"早")</f>
        <v/>
      </c>
      <c r="F13" s="2">
        <f>COUNTIF(シフト表!C13:AG13,"日")</f>
        <v/>
      </c>
      <c r="G13" s="2">
        <f>COUNTIF(シフト表!C13:AG13,"遅")</f>
        <v/>
      </c>
      <c r="H13" s="2">
        <f>COUNTIF(シフト表!C13:AG13,"休")</f>
        <v/>
      </c>
      <c r="I13" s="2">
        <f>COUNTIF(シフト表!C13:AG13,"有")</f>
        <v/>
      </c>
    </row>
    <row r="14">
      <c r="A14" s="4">
        <f>職員マスタ!A13</f>
        <v/>
      </c>
      <c r="B14" s="5">
        <f>職員マスタ!B13</f>
        <v/>
      </c>
      <c r="C14" s="4">
        <f>COUNTIF(シフト表!C14:AG14,"早")+COUNTIF(シフト表!C14:AG14,"日")+COUNTIF(シフト表!C14:AG14,"遅")+COUNTIF(シフト表!C14:AG14,"夜")+COUNTIF(シフト表!C14:AG14,"明")+COUNTIF(シフト表!C14:AG14,"P")</f>
        <v/>
      </c>
      <c r="D14" s="4">
        <f>COUNTIF(シフト表!C14:AG14,"夜")</f>
        <v/>
      </c>
      <c r="E14" s="4">
        <f>COUNTIF(シフト表!C14:AG14,"早")</f>
        <v/>
      </c>
      <c r="F14" s="4">
        <f>COUNTIF(シフト表!C14:AG14,"日")</f>
        <v/>
      </c>
      <c r="G14" s="4">
        <f>COUNTIF(シフト表!C14:AG14,"遅")</f>
        <v/>
      </c>
      <c r="H14" s="4">
        <f>COUNTIF(シフト表!C14:AG14,"休")</f>
        <v/>
      </c>
      <c r="I14" s="4">
        <f>COUNTIF(シフト表!C14:AG14,"有")</f>
        <v/>
      </c>
    </row>
    <row r="15">
      <c r="A15" s="2">
        <f>職員マスタ!A14</f>
        <v/>
      </c>
      <c r="B15" s="3">
        <f>職員マスタ!B14</f>
        <v/>
      </c>
      <c r="C15" s="2">
        <f>COUNTIF(シフト表!C15:AG15,"早")+COUNTIF(シフト表!C15:AG15,"日")+COUNTIF(シフト表!C15:AG15,"遅")+COUNTIF(シフト表!C15:AG15,"夜")+COUNTIF(シフト表!C15:AG15,"明")+COUNTIF(シフト表!C15:AG15,"P")</f>
        <v/>
      </c>
      <c r="D15" s="2">
        <f>COUNTIF(シフト表!C15:AG15,"夜")</f>
        <v/>
      </c>
      <c r="E15" s="2">
        <f>COUNTIF(シフト表!C15:AG15,"早")</f>
        <v/>
      </c>
      <c r="F15" s="2">
        <f>COUNTIF(シフト表!C15:AG15,"日")</f>
        <v/>
      </c>
      <c r="G15" s="2">
        <f>COUNTIF(シフト表!C15:AG15,"遅")</f>
        <v/>
      </c>
      <c r="H15" s="2">
        <f>COUNTIF(シフト表!C15:AG15,"休")</f>
        <v/>
      </c>
      <c r="I15" s="2">
        <f>COUNTIF(シフト表!C15:AG15,"有")</f>
        <v/>
      </c>
    </row>
    <row r="16">
      <c r="A16" s="4">
        <f>職員マスタ!A15</f>
        <v/>
      </c>
      <c r="B16" s="5">
        <f>職員マスタ!B15</f>
        <v/>
      </c>
      <c r="C16" s="4">
        <f>COUNTIF(シフト表!C16:AG16,"早")+COUNTIF(シフト表!C16:AG16,"日")+COUNTIF(シフト表!C16:AG16,"遅")+COUNTIF(シフト表!C16:AG16,"夜")+COUNTIF(シフト表!C16:AG16,"明")+COUNTIF(シフト表!C16:AG16,"P")</f>
        <v/>
      </c>
      <c r="D16" s="4">
        <f>COUNTIF(シフト表!C16:AG16,"夜")</f>
        <v/>
      </c>
      <c r="E16" s="4">
        <f>COUNTIF(シフト表!C16:AG16,"早")</f>
        <v/>
      </c>
      <c r="F16" s="4">
        <f>COUNTIF(シフト表!C16:AG16,"日")</f>
        <v/>
      </c>
      <c r="G16" s="4">
        <f>COUNTIF(シフト表!C16:AG16,"遅")</f>
        <v/>
      </c>
      <c r="H16" s="4">
        <f>COUNTIF(シフト表!C16:AG16,"休")</f>
        <v/>
      </c>
      <c r="I16" s="4">
        <f>COUNTIF(シフト表!C16:AG16,"有")</f>
        <v/>
      </c>
    </row>
    <row r="17">
      <c r="A17" s="2">
        <f>職員マスタ!A16</f>
        <v/>
      </c>
      <c r="B17" s="3">
        <f>職員マスタ!B16</f>
        <v/>
      </c>
      <c r="C17" s="2">
        <f>COUNTIF(シフト表!C17:AG17,"早")+COUNTIF(シフト表!C17:AG17,"日")+COUNTIF(シフト表!C17:AG17,"遅")+COUNTIF(シフト表!C17:AG17,"夜")+COUNTIF(シフト表!C17:AG17,"明")+COUNTIF(シフト表!C17:AG17,"P")</f>
        <v/>
      </c>
      <c r="D17" s="2">
        <f>COUNTIF(シフト表!C17:AG17,"夜")</f>
        <v/>
      </c>
      <c r="E17" s="2">
        <f>COUNTIF(シフト表!C17:AG17,"早")</f>
        <v/>
      </c>
      <c r="F17" s="2">
        <f>COUNTIF(シフト表!C17:AG17,"日")</f>
        <v/>
      </c>
      <c r="G17" s="2">
        <f>COUNTIF(シフト表!C17:AG17,"遅")</f>
        <v/>
      </c>
      <c r="H17" s="2">
        <f>COUNTIF(シフト表!C17:AG17,"休")</f>
        <v/>
      </c>
      <c r="I17" s="2">
        <f>COUNTIF(シフト表!C17:AG17,"有")</f>
        <v/>
      </c>
    </row>
    <row r="18">
      <c r="A18" s="14" t="inlineStr"/>
      <c r="B18" s="11" t="inlineStr">
        <is>
          <t>合計</t>
        </is>
      </c>
      <c r="C18" s="14">
        <f>SUM(C3:C17)</f>
        <v/>
      </c>
      <c r="D18" s="14">
        <f>SUM(D3:D17)</f>
        <v/>
      </c>
      <c r="E18" s="14">
        <f>SUM(E3:E17)</f>
        <v/>
      </c>
      <c r="F18" s="14">
        <f>SUM(F3:F17)</f>
        <v/>
      </c>
      <c r="G18" s="14">
        <f>SUM(G3:G17)</f>
        <v/>
      </c>
      <c r="H18" s="14">
        <f>SUM(H3:H17)</f>
        <v/>
      </c>
      <c r="I18" s="14">
        <f>SUM(I3:I17)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15" t="inlineStr">
        <is>
          <t>VBAマクロコード（コピー用）</t>
        </is>
      </c>
    </row>
    <row r="3">
      <c r="A3" s="6" t="inlineStr">
        <is>
          <t>■ 使用方法</t>
        </is>
      </c>
    </row>
    <row r="4">
      <c r="A4" s="16" t="inlineStr">
        <is>
          <t>1. このファイルを .xlsm 形式（マクロ有効ブック）で保存し直してください。</t>
        </is>
      </c>
    </row>
    <row r="5">
      <c r="A5" s="16" t="inlineStr">
        <is>
          <t xml:space="preserve">   [ファイル] → [名前を付けて保存] → ファイル形式 "Excel マクロ有効ブック (*.xlsm)"</t>
        </is>
      </c>
    </row>
    <row r="6">
      <c r="A6" s="16" t="inlineStr">
        <is>
          <t>2. Excelで Alt + F11 キーを押し、VBAエディタを開きます。</t>
        </is>
      </c>
    </row>
    <row r="7">
      <c r="A7" s="16" t="inlineStr">
        <is>
          <t>3. メニュー [挿入] → [標準モジュール] を選択し、新規モジュールを作成。</t>
        </is>
      </c>
    </row>
    <row r="8">
      <c r="A8" s="16" t="inlineStr">
        <is>
          <t>4. 下記のVBAコード全文をモジュールに貼り付けて保存。</t>
        </is>
      </c>
    </row>
    <row r="9">
      <c r="A9" s="16" t="inlineStr">
        <is>
          <t>5. シフト表シートに戻り、Alt + F8 でマクロ一覧を開き、</t>
        </is>
      </c>
    </row>
    <row r="10">
      <c r="A10" s="16" t="inlineStr">
        <is>
          <t xml:space="preserve">   ・CreateShift … 希望シフトを基にシフト表を自動生成</t>
        </is>
      </c>
    </row>
    <row r="11">
      <c r="A11" s="16" t="inlineStr">
        <is>
          <t xml:space="preserve">   ・ClearShift  … シフト表をクリア（確認ダイアログあり）</t>
        </is>
      </c>
    </row>
    <row r="12">
      <c r="A12" s="16" t="inlineStr">
        <is>
          <t xml:space="preserve">   ・ReColorize  … 手動修正後の色を再適用</t>
        </is>
      </c>
    </row>
    <row r="13">
      <c r="A13" s="16" t="inlineStr">
        <is>
          <t xml:space="preserve">   を実行してください。</t>
        </is>
      </c>
    </row>
    <row r="16">
      <c r="A16" s="6" t="inlineStr">
        <is>
          <t>■ VBAコード（以下を全てコピーしてください）</t>
        </is>
      </c>
    </row>
    <row r="17">
      <c r="A17" s="17" t="inlineStr">
        <is>
          <t>Option Explicit</t>
        </is>
      </c>
    </row>
    <row r="18">
      <c r="A18" s="17" t="inlineStr"/>
    </row>
    <row r="19">
      <c r="A19" s="18" t="inlineStr">
        <is>
          <t>'==========================================================</t>
        </is>
      </c>
    </row>
    <row r="20">
      <c r="A20" s="18" t="inlineStr">
        <is>
          <t>' グループホーム シフト管理マクロ</t>
        </is>
      </c>
    </row>
    <row r="21">
      <c r="A21" s="18" t="inlineStr">
        <is>
          <t>' 使用前に .xlsm 形式で保存し、本コードをVBAエディタに貼り付け</t>
        </is>
      </c>
    </row>
    <row r="22">
      <c r="A22" s="18" t="inlineStr">
        <is>
          <t>'==========================================================</t>
        </is>
      </c>
    </row>
    <row r="23">
      <c r="A23" s="17" t="inlineStr"/>
    </row>
    <row r="24">
      <c r="A24" s="18" t="inlineStr">
        <is>
          <t>' --- 設定定数 ---</t>
        </is>
      </c>
    </row>
    <row r="25">
      <c r="A25" s="18" t="inlineStr">
        <is>
          <t>Const SHEET_MASTER As String = "職員マスタ"</t>
        </is>
      </c>
    </row>
    <row r="26">
      <c r="A26" s="18" t="inlineStr">
        <is>
          <t>Const SHEET_SETTINGS As String = "シフト設定"</t>
        </is>
      </c>
    </row>
    <row r="27">
      <c r="A27" s="18" t="inlineStr">
        <is>
          <t>Const SHEET_REQUEST As String = "希望シフト入力"</t>
        </is>
      </c>
    </row>
    <row r="28">
      <c r="A28" s="18" t="inlineStr">
        <is>
          <t>Const SHEET_SHIFT As String = "シフト表"</t>
        </is>
      </c>
    </row>
    <row r="29">
      <c r="A29" s="17" t="inlineStr"/>
    </row>
    <row r="30">
      <c r="A30" s="18" t="inlineStr">
        <is>
          <t>Const STAFF_FIRST_ROW As Long = 3</t>
        </is>
      </c>
    </row>
    <row r="31">
      <c r="A31" s="18" t="inlineStr">
        <is>
          <t>Const STAFF_LAST_ROW As Long = 17</t>
        </is>
      </c>
    </row>
    <row r="32">
      <c r="A32" s="18" t="inlineStr">
        <is>
          <t>Const DAY_FIRST_COL As Long = 3      ' C列</t>
        </is>
      </c>
    </row>
    <row r="33">
      <c r="A33" s="18" t="inlineStr">
        <is>
          <t>Const DAY_LAST_COL As Long = 33      ' AG列</t>
        </is>
      </c>
    </row>
    <row r="34">
      <c r="A34" s="18" t="inlineStr">
        <is>
          <t>Const MAX_MONTH_DAYS As Long = 20    ' 月最大出勤日数</t>
        </is>
      </c>
    </row>
    <row r="35">
      <c r="A35" s="17" t="inlineStr"/>
    </row>
    <row r="36">
      <c r="A36" s="18" t="inlineStr">
        <is>
          <t>'----------------------------------------------------------</t>
        </is>
      </c>
    </row>
    <row r="37">
      <c r="A37" s="18" t="inlineStr">
        <is>
          <t>' メイン処理：希望シフトをシフト表へ転記し、空欄を自動割当</t>
        </is>
      </c>
    </row>
    <row r="38">
      <c r="A38" s="18" t="inlineStr">
        <is>
          <t>'----------------------------------------------------------</t>
        </is>
      </c>
    </row>
    <row r="39">
      <c r="A39" s="19" t="inlineStr">
        <is>
          <t>Public Sub CreateShift()</t>
        </is>
      </c>
    </row>
    <row r="40">
      <c r="A40" s="17" t="inlineStr">
        <is>
          <t xml:space="preserve">    Dim wsReq As Worksheet, wsShift As Worksheet, wsMaster As Worksheet</t>
        </is>
      </c>
    </row>
    <row r="41">
      <c r="A41" s="17" t="inlineStr">
        <is>
          <t xml:space="preserve">    Set wsReq = ThisWorkbook.Worksheets(SHEET_REQUEST)</t>
        </is>
      </c>
    </row>
    <row r="42">
      <c r="A42" s="17" t="inlineStr">
        <is>
          <t xml:space="preserve">    Set wsShift = ThisWorkbook.Worksheets(SHEET_SHIFT)</t>
        </is>
      </c>
    </row>
    <row r="43">
      <c r="A43" s="17" t="inlineStr">
        <is>
          <t xml:space="preserve">    Set wsMaster = ThisWorkbook.Worksheets(SHEET_MASTER)</t>
        </is>
      </c>
    </row>
    <row r="44">
      <c r="A44" s="17" t="inlineStr"/>
    </row>
    <row r="45">
      <c r="A45" s="17" t="inlineStr">
        <is>
          <t xml:space="preserve">    Application.ScreenUpdating = False</t>
        </is>
      </c>
    </row>
    <row r="46">
      <c r="A46" s="17" t="inlineStr">
        <is>
          <t xml:space="preserve">    Application.Calculation = xlCalculationManual</t>
        </is>
      </c>
    </row>
    <row r="47">
      <c r="A47" s="17" t="inlineStr"/>
    </row>
    <row r="48">
      <c r="A48" s="18" t="inlineStr">
        <is>
          <t xml:space="preserve">    ' ① 希望シフトを転記</t>
        </is>
      </c>
    </row>
    <row r="49">
      <c r="A49" s="17" t="inlineStr">
        <is>
          <t xml:space="preserve">    Dim r As Long, c As Long</t>
        </is>
      </c>
    </row>
    <row r="50">
      <c r="A50" s="17" t="inlineStr">
        <is>
          <t xml:space="preserve">    For r = STAFF_FIRST_ROW To STAFF_LAST_ROW</t>
        </is>
      </c>
    </row>
    <row r="51">
      <c r="A51" s="17" t="inlineStr">
        <is>
          <t xml:space="preserve">        For c = DAY_FIRST_COL To DAY_LAST_COL</t>
        </is>
      </c>
    </row>
    <row r="52">
      <c r="A52" s="17" t="inlineStr">
        <is>
          <t xml:space="preserve">            wsShift.Cells(r, c).Value = wsReq.Cells(r, c).Value</t>
        </is>
      </c>
    </row>
    <row r="53">
      <c r="A53" s="17" t="inlineStr">
        <is>
          <t xml:space="preserve">        Next c</t>
        </is>
      </c>
    </row>
    <row r="54">
      <c r="A54" s="17" t="inlineStr">
        <is>
          <t xml:space="preserve">    Next r</t>
        </is>
      </c>
    </row>
    <row r="55">
      <c r="A55" s="17" t="inlineStr"/>
    </row>
    <row r="56">
      <c r="A56" s="18" t="inlineStr">
        <is>
          <t xml:space="preserve">    ' ② 各職員の属性を取得</t>
        </is>
      </c>
    </row>
    <row r="57">
      <c r="A57" s="17" t="inlineStr">
        <is>
          <t xml:space="preserve">    Dim staffCount As Long</t>
        </is>
      </c>
    </row>
    <row r="58">
      <c r="A58" s="17" t="inlineStr">
        <is>
          <t xml:space="preserve">    staffCount = STAFF_LAST_ROW - STAFF_FIRST_ROW + 1</t>
        </is>
      </c>
    </row>
    <row r="59">
      <c r="A59" s="17" t="inlineStr"/>
    </row>
    <row r="60">
      <c r="A60" s="17" t="inlineStr">
        <is>
          <t xml:space="preserve">    ReDim isPart(1 To staffCount) As Boolean</t>
        </is>
      </c>
    </row>
    <row r="61">
      <c r="A61" s="17" t="inlineStr">
        <is>
          <t xml:space="preserve">    ReDim canNight(1 To staffCount) As Boolean</t>
        </is>
      </c>
    </row>
    <row r="62">
      <c r="A62" s="17" t="inlineStr">
        <is>
          <t xml:space="preserve">    ReDim isForeign(1 To staffCount) As Boolean</t>
        </is>
      </c>
    </row>
    <row r="63">
      <c r="A63" s="17" t="inlineStr">
        <is>
          <t xml:space="preserve">    ReDim conLimit(1 To staffCount) As Long</t>
        </is>
      </c>
    </row>
    <row r="64">
      <c r="A64" s="17" t="inlineStr"/>
    </row>
    <row r="65">
      <c r="A65" s="17" t="inlineStr">
        <is>
          <t xml:space="preserve">    Dim i As Long</t>
        </is>
      </c>
    </row>
    <row r="66">
      <c r="A66" s="17" t="inlineStr">
        <is>
          <t xml:space="preserve">    For i = 1 To staffCount</t>
        </is>
      </c>
    </row>
    <row r="67">
      <c r="A67" s="17" t="inlineStr">
        <is>
          <t xml:space="preserve">        Dim mr As Long: mr = 1 + i           ' 職員マスタの行 (2-16)</t>
        </is>
      </c>
    </row>
    <row r="68">
      <c r="A68" s="17" t="inlineStr">
        <is>
          <t xml:space="preserve">        isPart(i) = (wsMaster.Cells(mr, 4).Value = "パート")</t>
        </is>
      </c>
    </row>
    <row r="69">
      <c r="A69" s="17" t="inlineStr">
        <is>
          <t xml:space="preserve">        canNight(i) = (wsMaster.Cells(mr, 11).Value = "可")</t>
        </is>
      </c>
    </row>
    <row r="70">
      <c r="A70" s="17" t="inlineStr">
        <is>
          <t xml:space="preserve">        isForeign(i) = (wsMaster.Cells(mr, 5).Value = "外国人")</t>
        </is>
      </c>
    </row>
    <row r="71">
      <c r="A71" s="17" t="inlineStr">
        <is>
          <t xml:space="preserve">        If IsNumeric(wsMaster.Cells(mr, 10).Value) Then</t>
        </is>
      </c>
    </row>
    <row r="72">
      <c r="A72" s="17" t="inlineStr">
        <is>
          <t xml:space="preserve">            conLimit(i) = CLng(wsMaster.Cells(mr, 10).Value)</t>
        </is>
      </c>
    </row>
    <row r="73">
      <c r="A73" s="17" t="inlineStr">
        <is>
          <t xml:space="preserve">        Else</t>
        </is>
      </c>
    </row>
    <row r="74">
      <c r="A74" s="17" t="inlineStr">
        <is>
          <t xml:space="preserve">            conLimit(i) = 5</t>
        </is>
      </c>
    </row>
    <row r="75">
      <c r="A75" s="17" t="inlineStr">
        <is>
          <t xml:space="preserve">        End If</t>
        </is>
      </c>
    </row>
    <row r="76">
      <c r="A76" s="17" t="inlineStr">
        <is>
          <t xml:space="preserve">    Next i</t>
        </is>
      </c>
    </row>
    <row r="77">
      <c r="A77" s="17" t="inlineStr"/>
    </row>
    <row r="78">
      <c r="A78" s="18" t="inlineStr">
        <is>
          <t xml:space="preserve">    ' ③ 自動割当：日ごとに夜勤2名を確保→空欄を埋める</t>
        </is>
      </c>
    </row>
    <row r="79">
      <c r="A79" s="17" t="inlineStr">
        <is>
          <t xml:space="preserve">    Dim d As Long</t>
        </is>
      </c>
    </row>
    <row r="80">
      <c r="A80" s="17" t="inlineStr">
        <is>
          <t xml:space="preserve">    For d = DAY_FIRST_COL To DAY_LAST_COL</t>
        </is>
      </c>
    </row>
    <row r="81">
      <c r="A81" s="17" t="inlineStr">
        <is>
          <t xml:space="preserve">        Call AssignNightShift(wsShift, d, isPart, canNight, isForeign)</t>
        </is>
      </c>
    </row>
    <row r="82">
      <c r="A82" s="17" t="inlineStr">
        <is>
          <t xml:space="preserve">    Next d</t>
        </is>
      </c>
    </row>
    <row r="83">
      <c r="A83" s="17" t="inlineStr"/>
    </row>
    <row r="84">
      <c r="A84" s="18" t="inlineStr">
        <is>
          <t xml:space="preserve">    ' ④ 夜勤翌日を「明」、連勤上限超過は「休」、月20日超は「休」</t>
        </is>
      </c>
    </row>
    <row r="85">
      <c r="A85" s="17" t="inlineStr">
        <is>
          <t xml:space="preserve">    Call FillRemaining(wsShift, isPart, canNight, conLimit)</t>
        </is>
      </c>
    </row>
    <row r="86">
      <c r="A86" s="17" t="inlineStr"/>
    </row>
    <row r="87">
      <c r="A87" s="18" t="inlineStr">
        <is>
          <t xml:space="preserve">    ' ⑤ 色分け</t>
        </is>
      </c>
    </row>
    <row r="88">
      <c r="A88" s="17" t="inlineStr">
        <is>
          <t xml:space="preserve">    Call ReColorize</t>
        </is>
      </c>
    </row>
    <row r="89">
      <c r="A89" s="17" t="inlineStr"/>
    </row>
    <row r="90">
      <c r="A90" s="17" t="inlineStr">
        <is>
          <t xml:space="preserve">    Application.Calculation = xlCalculationAutomatic</t>
        </is>
      </c>
    </row>
    <row r="91">
      <c r="A91" s="17" t="inlineStr">
        <is>
          <t xml:space="preserve">    Application.ScreenUpdating = True</t>
        </is>
      </c>
    </row>
    <row r="92">
      <c r="A92" s="17" t="inlineStr"/>
    </row>
    <row r="93">
      <c r="A93" s="18" t="inlineStr">
        <is>
          <t xml:space="preserve">    ' ⑥ 夜勤不足日チェック</t>
        </is>
      </c>
    </row>
    <row r="94">
      <c r="A94" s="17" t="inlineStr">
        <is>
          <t xml:space="preserve">    Dim shortDays As Long: shortDays = 0</t>
        </is>
      </c>
    </row>
    <row r="95">
      <c r="A95" s="17" t="inlineStr">
        <is>
          <t xml:space="preserve">    For d = DAY_FIRST_COL To DAY_LAST_COL</t>
        </is>
      </c>
    </row>
    <row r="96">
      <c r="A96" s="17" t="inlineStr">
        <is>
          <t xml:space="preserve">        If CountShiftInColumn(wsShift, d, "夜") &lt; 2 Then</t>
        </is>
      </c>
    </row>
    <row r="97">
      <c r="A97" s="17" t="inlineStr">
        <is>
          <t xml:space="preserve">            shortDays = shortDays + 1</t>
        </is>
      </c>
    </row>
    <row r="98">
      <c r="A98" s="17" t="inlineStr">
        <is>
          <t xml:space="preserve">        End If</t>
        </is>
      </c>
    </row>
    <row r="99">
      <c r="A99" s="17" t="inlineStr">
        <is>
          <t xml:space="preserve">    Next d</t>
        </is>
      </c>
    </row>
    <row r="100">
      <c r="A100" s="17" t="inlineStr"/>
    </row>
    <row r="101">
      <c r="A101" s="17" t="inlineStr">
        <is>
          <t xml:space="preserve">    If shortDays &gt; 0 Then</t>
        </is>
      </c>
    </row>
    <row r="102">
      <c r="A102" s="17" t="inlineStr">
        <is>
          <t xml:space="preserve">        MsgBox "シフト作成完了。夜勤不足日: " &amp; shortDays &amp; "日。手動で調整してください。", _</t>
        </is>
      </c>
    </row>
    <row r="103">
      <c r="A103" s="17" t="inlineStr">
        <is>
          <t xml:space="preserve">               vbExclamation, "シフト作成"</t>
        </is>
      </c>
    </row>
    <row r="104">
      <c r="A104" s="17" t="inlineStr">
        <is>
          <t xml:space="preserve">    Else</t>
        </is>
      </c>
    </row>
    <row r="105">
      <c r="A105" s="17" t="inlineStr">
        <is>
          <t xml:space="preserve">        MsgBox "シフト作成完了。夜勤不足はありません。", vbInformation, "シフト作成"</t>
        </is>
      </c>
    </row>
    <row r="106">
      <c r="A106" s="17" t="inlineStr">
        <is>
          <t xml:space="preserve">    End If</t>
        </is>
      </c>
    </row>
    <row r="107">
      <c r="A107" s="17" t="inlineStr">
        <is>
          <t>End Sub</t>
        </is>
      </c>
    </row>
    <row r="108">
      <c r="A108" s="17" t="inlineStr"/>
    </row>
    <row r="109">
      <c r="A109" s="18" t="inlineStr">
        <is>
          <t>'----------------------------------------------------------</t>
        </is>
      </c>
    </row>
    <row r="110">
      <c r="A110" s="18" t="inlineStr">
        <is>
          <t>' 1日分の夜勤を2名（外国人は最大1名）まで割当</t>
        </is>
      </c>
    </row>
    <row r="111">
      <c r="A111" s="18" t="inlineStr">
        <is>
          <t>'----------------------------------------------------------</t>
        </is>
      </c>
    </row>
    <row r="112">
      <c r="A112" s="19" t="inlineStr">
        <is>
          <t>Private Sub AssignNightShift(ws As Worksheet, dayCol As Long, _</t>
        </is>
      </c>
    </row>
    <row r="113">
      <c r="A113" s="17" t="inlineStr">
        <is>
          <t xml:space="preserve">                              isPart() As Boolean, canNight() As Boolean, _</t>
        </is>
      </c>
    </row>
    <row r="114">
      <c r="A114" s="17" t="inlineStr">
        <is>
          <t xml:space="preserve">                              isForeign() As Boolean)</t>
        </is>
      </c>
    </row>
    <row r="115">
      <c r="A115" s="17" t="inlineStr">
        <is>
          <t xml:space="preserve">    Dim nightCnt As Long, foreignNight As Long</t>
        </is>
      </c>
    </row>
    <row r="116">
      <c r="A116" s="17" t="inlineStr">
        <is>
          <t xml:space="preserve">    Dim i As Long, r As Long</t>
        </is>
      </c>
    </row>
    <row r="117">
      <c r="A117" s="17" t="inlineStr"/>
    </row>
    <row r="118">
      <c r="A118" s="18" t="inlineStr">
        <is>
          <t xml:space="preserve">    ' 既存夜勤者を数える</t>
        </is>
      </c>
    </row>
    <row r="119">
      <c r="A119" s="17" t="inlineStr">
        <is>
          <t xml:space="preserve">    For i = 1 To UBound(canNight)</t>
        </is>
      </c>
    </row>
    <row r="120">
      <c r="A120" s="17" t="inlineStr">
        <is>
          <t xml:space="preserve">        r = STAFF_FIRST_ROW + i - 1</t>
        </is>
      </c>
    </row>
    <row r="121">
      <c r="A121" s="17" t="inlineStr">
        <is>
          <t xml:space="preserve">        If ws.Cells(r, dayCol).Value = "夜" Then</t>
        </is>
      </c>
    </row>
    <row r="122">
      <c r="A122" s="17" t="inlineStr">
        <is>
          <t xml:space="preserve">            nightCnt = nightCnt + 1</t>
        </is>
      </c>
    </row>
    <row r="123">
      <c r="A123" s="17" t="inlineStr">
        <is>
          <t xml:space="preserve">            If isForeign(i) Then foreignNight = foreignNight + 1</t>
        </is>
      </c>
    </row>
    <row r="124">
      <c r="A124" s="17" t="inlineStr">
        <is>
          <t xml:space="preserve">        End If</t>
        </is>
      </c>
    </row>
    <row r="125">
      <c r="A125" s="17" t="inlineStr">
        <is>
          <t xml:space="preserve">    Next i</t>
        </is>
      </c>
    </row>
    <row r="126">
      <c r="A126" s="17" t="inlineStr"/>
    </row>
    <row r="127">
      <c r="A127" s="18" t="inlineStr">
        <is>
          <t xml:space="preserve">    ' 不足分を埋める</t>
        </is>
      </c>
    </row>
    <row r="128">
      <c r="A128" s="17" t="inlineStr">
        <is>
          <t xml:space="preserve">    For i = 1 To UBound(canNight)</t>
        </is>
      </c>
    </row>
    <row r="129">
      <c r="A129" s="17" t="inlineStr">
        <is>
          <t xml:space="preserve">        If nightCnt &gt;= 2 Then Exit For</t>
        </is>
      </c>
    </row>
    <row r="130">
      <c r="A130" s="17" t="inlineStr">
        <is>
          <t xml:space="preserve">        r = STAFF_FIRST_ROW + i - 1</t>
        </is>
      </c>
    </row>
    <row r="131">
      <c r="A131" s="17" t="inlineStr">
        <is>
          <t xml:space="preserve">        If ws.Cells(r, dayCol).Value = "" Then</t>
        </is>
      </c>
    </row>
    <row r="132">
      <c r="A132" s="17" t="inlineStr">
        <is>
          <t xml:space="preserve">            If isPart(i) Then GoTo NextI</t>
        </is>
      </c>
    </row>
    <row r="133">
      <c r="A133" s="17" t="inlineStr">
        <is>
          <t xml:space="preserve">            If Not canNight(i) Then GoTo NextI</t>
        </is>
      </c>
    </row>
    <row r="134">
      <c r="A134" s="17" t="inlineStr">
        <is>
          <t xml:space="preserve">            If isForeign(i) And foreignNight &gt;= 1 Then GoTo NextI</t>
        </is>
      </c>
    </row>
    <row r="135">
      <c r="A135" s="18" t="inlineStr">
        <is>
          <t xml:space="preserve">            ' 前日が夜勤なら割当不可</t>
        </is>
      </c>
    </row>
    <row r="136">
      <c r="A136" s="17" t="inlineStr">
        <is>
          <t xml:space="preserve">            If dayCol &gt; DAY_FIRST_COL Then</t>
        </is>
      </c>
    </row>
    <row r="137">
      <c r="A137" s="17" t="inlineStr">
        <is>
          <t xml:space="preserve">                If ws.Cells(r, dayCol - 1).Value = "夜" Then GoTo NextI</t>
        </is>
      </c>
    </row>
    <row r="138">
      <c r="A138" s="17" t="inlineStr">
        <is>
          <t xml:space="preserve">            End If</t>
        </is>
      </c>
    </row>
    <row r="139">
      <c r="A139" s="17" t="inlineStr">
        <is>
          <t xml:space="preserve">            ws.Cells(r, dayCol).Value = "夜"</t>
        </is>
      </c>
    </row>
    <row r="140">
      <c r="A140" s="17" t="inlineStr">
        <is>
          <t xml:space="preserve">            nightCnt = nightCnt + 1</t>
        </is>
      </c>
    </row>
    <row r="141">
      <c r="A141" s="17" t="inlineStr">
        <is>
          <t xml:space="preserve">            If isForeign(i) Then foreignNight = foreignNight + 1</t>
        </is>
      </c>
    </row>
    <row r="142">
      <c r="A142" s="17" t="inlineStr">
        <is>
          <t xml:space="preserve">        End If</t>
        </is>
      </c>
    </row>
    <row r="143">
      <c r="A143" s="17" t="inlineStr">
        <is>
          <t>NextI:</t>
        </is>
      </c>
    </row>
    <row r="144">
      <c r="A144" s="17" t="inlineStr">
        <is>
          <t xml:space="preserve">    Next i</t>
        </is>
      </c>
    </row>
    <row r="145">
      <c r="A145" s="17" t="inlineStr">
        <is>
          <t>End Sub</t>
        </is>
      </c>
    </row>
    <row r="146">
      <c r="A146" s="17" t="inlineStr"/>
    </row>
    <row r="147">
      <c r="A147" s="18" t="inlineStr">
        <is>
          <t>'----------------------------------------------------------</t>
        </is>
      </c>
    </row>
    <row r="148">
      <c r="A148" s="18" t="inlineStr">
        <is>
          <t>' 残りの空欄を埋める（明・休のルール処理含む）</t>
        </is>
      </c>
    </row>
    <row r="149">
      <c r="A149" s="18" t="inlineStr">
        <is>
          <t>'----------------------------------------------------------</t>
        </is>
      </c>
    </row>
    <row r="150">
      <c r="A150" s="19" t="inlineStr">
        <is>
          <t>Private Sub FillRemaining(ws As Worksheet, _</t>
        </is>
      </c>
    </row>
    <row r="151">
      <c r="A151" s="17" t="inlineStr">
        <is>
          <t xml:space="preserve">                           isPart() As Boolean, canNight() As Boolean, _</t>
        </is>
      </c>
    </row>
    <row r="152">
      <c r="A152" s="17" t="inlineStr">
        <is>
          <t xml:space="preserve">                           conLimit() As Long)</t>
        </is>
      </c>
    </row>
    <row r="153">
      <c r="A153" s="17" t="inlineStr">
        <is>
          <t xml:space="preserve">    Dim i As Long, d As Long, r As Long</t>
        </is>
      </c>
    </row>
    <row r="154">
      <c r="A154" s="17" t="inlineStr">
        <is>
          <t xml:space="preserve">    For i = 1 To UBound(canNight)</t>
        </is>
      </c>
    </row>
    <row r="155">
      <c r="A155" s="17" t="inlineStr">
        <is>
          <t xml:space="preserve">        r = STAFF_FIRST_ROW + i - 1</t>
        </is>
      </c>
    </row>
    <row r="156">
      <c r="A156" s="17" t="inlineStr">
        <is>
          <t xml:space="preserve">        Dim consec As Long: consec = 0</t>
        </is>
      </c>
    </row>
    <row r="157">
      <c r="A157" s="17" t="inlineStr">
        <is>
          <t xml:space="preserve">        Dim monthlyWork As Long: monthlyWork = 0</t>
        </is>
      </c>
    </row>
    <row r="158">
      <c r="A158" s="17" t="inlineStr"/>
    </row>
    <row r="159">
      <c r="A159" s="17" t="inlineStr">
        <is>
          <t xml:space="preserve">        For d = DAY_FIRST_COL To DAY_LAST_COL</t>
        </is>
      </c>
    </row>
    <row r="160">
      <c r="A160" s="17" t="inlineStr">
        <is>
          <t xml:space="preserve">            Dim prev As String: prev = ""</t>
        </is>
      </c>
    </row>
    <row r="161">
      <c r="A161" s="17" t="inlineStr">
        <is>
          <t xml:space="preserve">            If d &gt; DAY_FIRST_COL Then prev = CStr(ws.Cells(r, d - 1).Value)</t>
        </is>
      </c>
    </row>
    <row r="162">
      <c r="A162" s="17" t="inlineStr"/>
    </row>
    <row r="163">
      <c r="A163" s="18" t="inlineStr">
        <is>
          <t xml:space="preserve">            ' 夜勤翌日は強制的に「明」</t>
        </is>
      </c>
    </row>
    <row r="164">
      <c r="A164" s="17" t="inlineStr">
        <is>
          <t xml:space="preserve">            If prev = "夜" Then</t>
        </is>
      </c>
    </row>
    <row r="165">
      <c r="A165" s="17" t="inlineStr">
        <is>
          <t xml:space="preserve">                If ws.Cells(r, d).Value = "" Or ws.Cells(r, d).Value = "明" Then</t>
        </is>
      </c>
    </row>
    <row r="166">
      <c r="A166" s="17" t="inlineStr">
        <is>
          <t xml:space="preserve">                    ws.Cells(r, d).Value = "明"</t>
        </is>
      </c>
    </row>
    <row r="167">
      <c r="A167" s="17" t="inlineStr">
        <is>
          <t xml:space="preserve">                End If</t>
        </is>
      </c>
    </row>
    <row r="168">
      <c r="A168" s="17" t="inlineStr">
        <is>
          <t xml:space="preserve">            End If</t>
        </is>
      </c>
    </row>
    <row r="169">
      <c r="A169" s="17" t="inlineStr"/>
    </row>
    <row r="170">
      <c r="A170" s="17" t="inlineStr">
        <is>
          <t xml:space="preserve">            If ws.Cells(r, d).Value = "" Then</t>
        </is>
      </c>
    </row>
    <row r="171">
      <c r="A171" s="18" t="inlineStr">
        <is>
          <t xml:space="preserve">                ' パートはP、夜勤不可職員はP/日勤</t>
        </is>
      </c>
    </row>
    <row r="172">
      <c r="A172" s="17" t="inlineStr">
        <is>
          <t xml:space="preserve">                If isPart(i) Then</t>
        </is>
      </c>
    </row>
    <row r="173">
      <c r="A173" s="17" t="inlineStr">
        <is>
          <t xml:space="preserve">                    ws.Cells(r, d).Value = "P"</t>
        </is>
      </c>
    </row>
    <row r="174">
      <c r="A174" s="17" t="inlineStr">
        <is>
          <t xml:space="preserve">                ElseIf monthlyWork &gt;= MAX_MONTH_DAYS Then</t>
        </is>
      </c>
    </row>
    <row r="175">
      <c r="A175" s="17" t="inlineStr">
        <is>
          <t xml:space="preserve">                    ws.Cells(r, d).Value = "休"</t>
        </is>
      </c>
    </row>
    <row r="176">
      <c r="A176" s="17" t="inlineStr">
        <is>
          <t xml:space="preserve">                ElseIf consec &gt;= conLimit(i) Then</t>
        </is>
      </c>
    </row>
    <row r="177">
      <c r="A177" s="17" t="inlineStr">
        <is>
          <t xml:space="preserve">                    ws.Cells(r, d).Value = "休"</t>
        </is>
      </c>
    </row>
    <row r="178">
      <c r="A178" s="17" t="inlineStr">
        <is>
          <t xml:space="preserve">                Else</t>
        </is>
      </c>
    </row>
    <row r="179">
      <c r="A179" s="18" t="inlineStr">
        <is>
          <t xml:space="preserve">                    ' 早/日/遅をローテーション</t>
        </is>
      </c>
    </row>
    <row r="180">
      <c r="A180" s="17" t="inlineStr">
        <is>
          <t xml:space="preserve">                    Select Case (d Mod 3)</t>
        </is>
      </c>
    </row>
    <row r="181">
      <c r="A181" s="17" t="inlineStr">
        <is>
          <t xml:space="preserve">                        Case 0: ws.Cells(r, d).Value = "早"</t>
        </is>
      </c>
    </row>
    <row r="182">
      <c r="A182" s="17" t="inlineStr">
        <is>
          <t xml:space="preserve">                        Case 1: ws.Cells(r, d).Value = "日"</t>
        </is>
      </c>
    </row>
    <row r="183">
      <c r="A183" s="17" t="inlineStr">
        <is>
          <t xml:space="preserve">                        Case 2: ws.Cells(r, d).Value = "遅"</t>
        </is>
      </c>
    </row>
    <row r="184">
      <c r="A184" s="17" t="inlineStr">
        <is>
          <t xml:space="preserve">                    End Select</t>
        </is>
      </c>
    </row>
    <row r="185">
      <c r="A185" s="17" t="inlineStr">
        <is>
          <t xml:space="preserve">                End If</t>
        </is>
      </c>
    </row>
    <row r="186">
      <c r="A186" s="17" t="inlineStr">
        <is>
          <t xml:space="preserve">            End If</t>
        </is>
      </c>
    </row>
    <row r="187">
      <c r="A187" s="17" t="inlineStr"/>
    </row>
    <row r="188">
      <c r="A188" s="18" t="inlineStr">
        <is>
          <t xml:space="preserve">            ' 連勤・月勤務カウント更新</t>
        </is>
      </c>
    </row>
    <row r="189">
      <c r="A189" s="17" t="inlineStr">
        <is>
          <t xml:space="preserve">            Dim v As String: v = CStr(ws.Cells(r, d).Value)</t>
        </is>
      </c>
    </row>
    <row r="190">
      <c r="A190" s="17" t="inlineStr">
        <is>
          <t xml:space="preserve">            If v = "休" Or v = "有" Or v = "" Then</t>
        </is>
      </c>
    </row>
    <row r="191">
      <c r="A191" s="17" t="inlineStr">
        <is>
          <t xml:space="preserve">                consec = 0</t>
        </is>
      </c>
    </row>
    <row r="192">
      <c r="A192" s="17" t="inlineStr">
        <is>
          <t xml:space="preserve">            Else</t>
        </is>
      </c>
    </row>
    <row r="193">
      <c r="A193" s="17" t="inlineStr">
        <is>
          <t xml:space="preserve">                consec = consec + 1</t>
        </is>
      </c>
    </row>
    <row r="194">
      <c r="A194" s="17" t="inlineStr">
        <is>
          <t xml:space="preserve">                monthlyWork = monthlyWork + 1</t>
        </is>
      </c>
    </row>
    <row r="195">
      <c r="A195" s="17" t="inlineStr">
        <is>
          <t xml:space="preserve">            End If</t>
        </is>
      </c>
    </row>
    <row r="196">
      <c r="A196" s="17" t="inlineStr">
        <is>
          <t xml:space="preserve">        Next d</t>
        </is>
      </c>
    </row>
    <row r="197">
      <c r="A197" s="17" t="inlineStr">
        <is>
          <t xml:space="preserve">    Next i</t>
        </is>
      </c>
    </row>
    <row r="198">
      <c r="A198" s="17" t="inlineStr">
        <is>
          <t>End Sub</t>
        </is>
      </c>
    </row>
    <row r="199">
      <c r="A199" s="17" t="inlineStr"/>
    </row>
    <row r="200">
      <c r="A200" s="18" t="inlineStr">
        <is>
          <t>'----------------------------------------------------------</t>
        </is>
      </c>
    </row>
    <row r="201">
      <c r="A201" s="18" t="inlineStr">
        <is>
          <t>' 列内のシフトコード件数</t>
        </is>
      </c>
    </row>
    <row r="202">
      <c r="A202" s="18" t="inlineStr">
        <is>
          <t>'----------------------------------------------------------</t>
        </is>
      </c>
    </row>
    <row r="203">
      <c r="A203" s="19" t="inlineStr">
        <is>
          <t>Private Function CountShiftInColumn(ws As Worksheet, col As Long, code As String) As Long</t>
        </is>
      </c>
    </row>
    <row r="204">
      <c r="A204" s="17" t="inlineStr">
        <is>
          <t xml:space="preserve">    Dim cnt As Long: cnt = 0</t>
        </is>
      </c>
    </row>
    <row r="205">
      <c r="A205" s="17" t="inlineStr">
        <is>
          <t xml:space="preserve">    Dim r As Long</t>
        </is>
      </c>
    </row>
    <row r="206">
      <c r="A206" s="17" t="inlineStr">
        <is>
          <t xml:space="preserve">    For r = STAFF_FIRST_ROW To STAFF_LAST_ROW</t>
        </is>
      </c>
    </row>
    <row r="207">
      <c r="A207" s="17" t="inlineStr">
        <is>
          <t xml:space="preserve">        If ws.Cells(r, col).Value = code Then cnt = cnt + 1</t>
        </is>
      </c>
    </row>
    <row r="208">
      <c r="A208" s="17" t="inlineStr">
        <is>
          <t xml:space="preserve">    Next r</t>
        </is>
      </c>
    </row>
    <row r="209">
      <c r="A209" s="17" t="inlineStr">
        <is>
          <t xml:space="preserve">    CountShiftInColumn = cnt</t>
        </is>
      </c>
    </row>
    <row r="210">
      <c r="A210" s="17" t="inlineStr">
        <is>
          <t>End Function</t>
        </is>
      </c>
    </row>
    <row r="211">
      <c r="A211" s="17" t="inlineStr"/>
    </row>
    <row r="212">
      <c r="A212" s="18" t="inlineStr">
        <is>
          <t>'----------------------------------------------------------</t>
        </is>
      </c>
    </row>
    <row r="213">
      <c r="A213" s="18" t="inlineStr">
        <is>
          <t>' シフトクリア</t>
        </is>
      </c>
    </row>
    <row r="214">
      <c r="A214" s="18" t="inlineStr">
        <is>
          <t>'----------------------------------------------------------</t>
        </is>
      </c>
    </row>
    <row r="215">
      <c r="A215" s="19" t="inlineStr">
        <is>
          <t>Public Sub ClearShift()</t>
        </is>
      </c>
    </row>
    <row r="216">
      <c r="A216" s="17" t="inlineStr">
        <is>
          <t xml:space="preserve">    If MsgBox("シフト表をすべてクリアします。よろしいですか？", _</t>
        </is>
      </c>
    </row>
    <row r="217">
      <c r="A217" s="17" t="inlineStr">
        <is>
          <t xml:space="preserve">              vbYesNo + vbQuestion, "確認") &lt;&gt; vbYes Then Exit Sub</t>
        </is>
      </c>
    </row>
    <row r="218">
      <c r="A218" s="17" t="inlineStr"/>
    </row>
    <row r="219">
      <c r="A219" s="17" t="inlineStr">
        <is>
          <t xml:space="preserve">    Dim ws As Worksheet</t>
        </is>
      </c>
    </row>
    <row r="220">
      <c r="A220" s="17" t="inlineStr">
        <is>
          <t xml:space="preserve">    Set ws = ThisWorkbook.Worksheets(SHEET_SHIFT)</t>
        </is>
      </c>
    </row>
    <row r="221">
      <c r="A221" s="17" t="inlineStr"/>
    </row>
    <row r="222">
      <c r="A222" s="17" t="inlineStr">
        <is>
          <t xml:space="preserve">    Dim rng As Range</t>
        </is>
      </c>
    </row>
    <row r="223">
      <c r="A223" s="17" t="inlineStr">
        <is>
          <t xml:space="preserve">    Set rng = ws.Range(ws.Cells(STAFF_FIRST_ROW, DAY_FIRST_COL), _</t>
        </is>
      </c>
    </row>
    <row r="224">
      <c r="A224" s="17" t="inlineStr">
        <is>
          <t xml:space="preserve">                       ws.Cells(STAFF_LAST_ROW, DAY_LAST_COL))</t>
        </is>
      </c>
    </row>
    <row r="225">
      <c r="A225" s="17" t="inlineStr">
        <is>
          <t xml:space="preserve">    rng.ClearContents</t>
        </is>
      </c>
    </row>
    <row r="226">
      <c r="A226" s="17" t="inlineStr">
        <is>
          <t xml:space="preserve">    rng.Interior.ColorIndex = xlNone</t>
        </is>
      </c>
    </row>
    <row r="227">
      <c r="A227" s="17" t="inlineStr">
        <is>
          <t xml:space="preserve">    rng.Font.Color = RGB(0, 0, 0)</t>
        </is>
      </c>
    </row>
    <row r="228">
      <c r="A228" s="17" t="inlineStr"/>
    </row>
    <row r="229">
      <c r="A229" s="17" t="inlineStr">
        <is>
          <t xml:space="preserve">    MsgBox "シフト表をクリアしました。", vbInformation</t>
        </is>
      </c>
    </row>
    <row r="230">
      <c r="A230" s="17" t="inlineStr">
        <is>
          <t>End Sub</t>
        </is>
      </c>
    </row>
    <row r="231">
      <c r="A231" s="17" t="inlineStr"/>
    </row>
    <row r="232">
      <c r="A232" s="18" t="inlineStr">
        <is>
          <t>'----------------------------------------------------------</t>
        </is>
      </c>
    </row>
    <row r="233">
      <c r="A233" s="18" t="inlineStr">
        <is>
          <t>' 色を再適用（条件付き書式と二重掛けの場合のフェイルセーフ）</t>
        </is>
      </c>
    </row>
    <row r="234">
      <c r="A234" s="18" t="inlineStr">
        <is>
          <t>'----------------------------------------------------------</t>
        </is>
      </c>
    </row>
    <row r="235">
      <c r="A235" s="19" t="inlineStr">
        <is>
          <t>Public Sub ReColorize()</t>
        </is>
      </c>
    </row>
    <row r="236">
      <c r="A236" s="17" t="inlineStr">
        <is>
          <t xml:space="preserve">    Dim ws As Worksheet</t>
        </is>
      </c>
    </row>
    <row r="237">
      <c r="A237" s="17" t="inlineStr">
        <is>
          <t xml:space="preserve">    Set ws = ThisWorkbook.Worksheets(SHEET_SHIFT)</t>
        </is>
      </c>
    </row>
    <row r="238">
      <c r="A238" s="17" t="inlineStr"/>
    </row>
    <row r="239">
      <c r="A239" s="17" t="inlineStr">
        <is>
          <t xml:space="preserve">    Dim r As Long, c As Long, v As String</t>
        </is>
      </c>
    </row>
    <row r="240">
      <c r="A240" s="17" t="inlineStr">
        <is>
          <t xml:space="preserve">    For r = STAFF_FIRST_ROW To STAFF_LAST_ROW</t>
        </is>
      </c>
    </row>
    <row r="241">
      <c r="A241" s="17" t="inlineStr">
        <is>
          <t xml:space="preserve">        For c = DAY_FIRST_COL To DAY_LAST_COL</t>
        </is>
      </c>
    </row>
    <row r="242">
      <c r="A242" s="17" t="inlineStr">
        <is>
          <t xml:space="preserve">            v = CStr(ws.Cells(r, c).Value)</t>
        </is>
      </c>
    </row>
    <row r="243">
      <c r="A243" s="17" t="inlineStr">
        <is>
          <t xml:space="preserve">            Select Case v</t>
        </is>
      </c>
    </row>
    <row r="244">
      <c r="A244" s="17" t="inlineStr">
        <is>
          <t xml:space="preserve">                Case "早": Call ApplyColor(ws.Cells(r, c), "D4EDDA", "1B5E20")</t>
        </is>
      </c>
    </row>
    <row r="245">
      <c r="A245" s="17" t="inlineStr">
        <is>
          <t xml:space="preserve">                Case "日": Call ApplyColor(ws.Cells(r, c), "CCE5FF", "0D47A1")</t>
        </is>
      </c>
    </row>
    <row r="246">
      <c r="A246" s="17" t="inlineStr">
        <is>
          <t xml:space="preserve">                Case "遅": Call ApplyColor(ws.Cells(r, c), "FFF3CD", "7D6608")</t>
        </is>
      </c>
    </row>
    <row r="247">
      <c r="A247" s="17" t="inlineStr">
        <is>
          <t xml:space="preserve">                Case "夜": Call ApplyColor(ws.Cells(r, c), "E8DAEF", "6C3483")</t>
        </is>
      </c>
    </row>
    <row r="248">
      <c r="A248" s="17" t="inlineStr">
        <is>
          <t xml:space="preserve">                Case "明": Call ApplyColor(ws.Cells(r, c), "FDEBD0", "A04000")</t>
        </is>
      </c>
    </row>
    <row r="249">
      <c r="A249" s="17" t="inlineStr">
        <is>
          <t xml:space="preserve">                Case "休": Call ApplyColor(ws.Cells(r, c), "F2F3F4", "7F8C8D")</t>
        </is>
      </c>
    </row>
    <row r="250">
      <c r="A250" s="17" t="inlineStr">
        <is>
          <t xml:space="preserve">                Case "有": Call ApplyColor(ws.Cells(r, c), "D5F5E3", "1A5276")</t>
        </is>
      </c>
    </row>
    <row r="251">
      <c r="A251" s="17" t="inlineStr">
        <is>
          <t xml:space="preserve">                Case "P":  Call ApplyColor(ws.Cells(r, c), "EBF5FB", "154360")</t>
        </is>
      </c>
    </row>
    <row r="252">
      <c r="A252" s="17" t="inlineStr">
        <is>
          <t xml:space="preserve">                Case Else</t>
        </is>
      </c>
    </row>
    <row r="253">
      <c r="A253" s="17" t="inlineStr">
        <is>
          <t xml:space="preserve">                    ws.Cells(r, c).Interior.ColorIndex = xlNone</t>
        </is>
      </c>
    </row>
    <row r="254">
      <c r="A254" s="17" t="inlineStr">
        <is>
          <t xml:space="preserve">            End Select</t>
        </is>
      </c>
    </row>
    <row r="255">
      <c r="A255" s="17" t="inlineStr">
        <is>
          <t xml:space="preserve">        Next c</t>
        </is>
      </c>
    </row>
    <row r="256">
      <c r="A256" s="17" t="inlineStr">
        <is>
          <t xml:space="preserve">    Next r</t>
        </is>
      </c>
    </row>
    <row r="257">
      <c r="A257" s="17" t="inlineStr">
        <is>
          <t>End Sub</t>
        </is>
      </c>
    </row>
    <row r="258">
      <c r="A258" s="17" t="inlineStr"/>
    </row>
    <row r="259">
      <c r="A259" s="19" t="inlineStr">
        <is>
          <t>Private Sub ApplyColor(cell As Range, bg As String, fg As String)</t>
        </is>
      </c>
    </row>
    <row r="260">
      <c r="A260" s="17" t="inlineStr">
        <is>
          <t xml:space="preserve">    cell.Interior.Color = HexToLong(bg)</t>
        </is>
      </c>
    </row>
    <row r="261">
      <c r="A261" s="17" t="inlineStr">
        <is>
          <t xml:space="preserve">    cell.Font.Color = HexToLong(fg)</t>
        </is>
      </c>
    </row>
    <row r="262">
      <c r="A262" s="17" t="inlineStr">
        <is>
          <t xml:space="preserve">    cell.Font.Bold = True</t>
        </is>
      </c>
    </row>
    <row r="263">
      <c r="A263" s="17" t="inlineStr">
        <is>
          <t>End Sub</t>
        </is>
      </c>
    </row>
    <row r="264">
      <c r="A264" s="17" t="inlineStr"/>
    </row>
    <row r="265">
      <c r="A265" s="19" t="inlineStr">
        <is>
          <t>Private Function HexToLong(hex As String) As Long</t>
        </is>
      </c>
    </row>
    <row r="266">
      <c r="A266" s="17" t="inlineStr">
        <is>
          <t xml:space="preserve">    Dim r As Long, g As Long, b As Long</t>
        </is>
      </c>
    </row>
    <row r="267">
      <c r="A267" s="17" t="inlineStr">
        <is>
          <t xml:space="preserve">    r = CLng("&amp;H" &amp; Mid(hex, 1, 2))</t>
        </is>
      </c>
    </row>
    <row r="268">
      <c r="A268" s="17" t="inlineStr">
        <is>
          <t xml:space="preserve">    g = CLng("&amp;H" &amp; Mid(hex, 3, 2))</t>
        </is>
      </c>
    </row>
    <row r="269">
      <c r="A269" s="17" t="inlineStr">
        <is>
          <t xml:space="preserve">    b = CLng("&amp;H" &amp; Mid(hex, 5, 2))</t>
        </is>
      </c>
    </row>
    <row r="270">
      <c r="A270" s="17" t="inlineStr">
        <is>
          <t xml:space="preserve">    HexToLong = RGB(r, g, b)</t>
        </is>
      </c>
    </row>
    <row r="271">
      <c r="A271" s="17" t="inlineStr">
        <is>
          <t>End Function</t>
        </is>
      </c>
    </row>
    <row r="272">
      <c r="A272" s="18" t="inlineStr">
        <is>
          <t>'==========================================================</t>
        </is>
      </c>
    </row>
    <row r="273">
      <c r="A273" s="18" t="inlineStr">
        <is>
          <t>' END OF MACRO</t>
        </is>
      </c>
    </row>
    <row r="274">
      <c r="A274" s="18" t="inlineStr">
        <is>
          <t>'==========================================================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2026-05-21T14:26:42Z</dcterms:created>
  <dcterms:modified xsi:type="dcterms:W3CDTF">2026-05-21T14:26:42Z</dcterms:modified>
</cp:coreProperties>
</file>